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r\Downloads\MODELADO EXCEL\"/>
    </mc:Choice>
  </mc:AlternateContent>
  <xr:revisionPtr revIDLastSave="0" documentId="13_ncr:1_{673E881A-309A-4640-A1E9-0934E3A8D1C0}" xr6:coauthVersionLast="46" xr6:coauthVersionMax="46" xr10:uidLastSave="{00000000-0000-0000-0000-000000000000}"/>
  <bookViews>
    <workbookView xWindow="-120" yWindow="-120" windowWidth="20730" windowHeight="11160" tabRatio="729" activeTab="4" xr2:uid="{177F741D-5552-4D43-803A-F28D953A4C57}"/>
  </bookViews>
  <sheets>
    <sheet name="PORTADA" sheetId="2" r:id="rId1"/>
    <sheet name="ANÁLISIS CUALITATIVO" sheetId="1" r:id="rId2"/>
    <sheet name="FINANCIAL DATA" sheetId="3" r:id="rId3"/>
    <sheet name="FINANCIAL Q´S" sheetId="5" r:id="rId4"/>
    <sheet name="ANÁLISIS CUANTITATIVO" sheetId="7" r:id="rId5"/>
  </sheets>
  <externalReferences>
    <externalReference r:id="rId6"/>
  </externalReferences>
  <definedNames>
    <definedName name="ANALISIS_10K">'ANÁLISIS CUALITATIVO'!$E$3</definedName>
    <definedName name="ANALISIS_10Q">'ANÁLISIS CUALITATIVO'!$E$34</definedName>
    <definedName name="ANALISIS_FUNCIONAL">'ANÁLISIS CUALITATIVO'!$A$1</definedName>
    <definedName name="CONFERENCIAS">'ANÁLISIS CUALITATIVO'!$E$46</definedName>
    <definedName name="DIEZ_K" localSheetId="3">'FINANCIAL Q´S'!$A$3</definedName>
    <definedName name="DIEZ_K">'FINANCIAL DATA'!$A$3</definedName>
    <definedName name="DIEZ_Q" localSheetId="4">'[1]FINANCIAL DATA'!#REF!</definedName>
    <definedName name="DIEZ_Q" localSheetId="3">'FINANCIAL Q´S'!#REF!</definedName>
    <definedName name="DIEZ_Q">'FINANCIAL DATA'!#REF!</definedName>
    <definedName name="FINANCIAL_DATA">'ANÁLISIS CUALITATIVO'!$F$19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3" l="1"/>
  <c r="J140" i="5"/>
  <c r="I140" i="5"/>
  <c r="H140" i="5"/>
  <c r="G140" i="5"/>
  <c r="J130" i="5"/>
  <c r="I130" i="5"/>
  <c r="H130" i="5"/>
  <c r="G130" i="5"/>
  <c r="J103" i="5"/>
  <c r="I103" i="5"/>
  <c r="H103" i="5"/>
  <c r="G103" i="5"/>
  <c r="K100" i="5"/>
  <c r="J100" i="5"/>
  <c r="I100" i="5"/>
  <c r="H100" i="5"/>
  <c r="G100" i="5"/>
  <c r="K99" i="5"/>
  <c r="J99" i="5"/>
  <c r="I99" i="5"/>
  <c r="H99" i="5"/>
  <c r="G99" i="5"/>
  <c r="K98" i="5"/>
  <c r="J98" i="5"/>
  <c r="I98" i="5"/>
  <c r="H98" i="5"/>
  <c r="G98" i="5"/>
  <c r="J94" i="5"/>
  <c r="I94" i="5"/>
  <c r="H94" i="5"/>
  <c r="G94" i="5"/>
  <c r="J77" i="5"/>
  <c r="I77" i="5"/>
  <c r="H77" i="5"/>
  <c r="G77" i="5"/>
  <c r="J35" i="5"/>
  <c r="I35" i="5"/>
  <c r="H35" i="5"/>
  <c r="G35" i="5"/>
  <c r="J31" i="5"/>
  <c r="I31" i="5"/>
  <c r="H31" i="5"/>
  <c r="G31" i="5"/>
  <c r="J17" i="5"/>
  <c r="I17" i="5"/>
  <c r="H17" i="5"/>
  <c r="G17" i="5"/>
  <c r="J15" i="5"/>
  <c r="I15" i="5"/>
  <c r="H15" i="5"/>
  <c r="G15" i="5"/>
  <c r="J7" i="5"/>
  <c r="I7" i="5"/>
  <c r="H7" i="5"/>
  <c r="G7" i="5"/>
  <c r="I5" i="5"/>
  <c r="J5" i="5" s="1"/>
  <c r="K5" i="5" s="1"/>
  <c r="H5" i="5"/>
  <c r="D2" i="5"/>
  <c r="A5" i="5" s="1"/>
  <c r="A34" i="5" s="1"/>
  <c r="J140" i="3"/>
  <c r="I140" i="3"/>
  <c r="H140" i="3"/>
  <c r="G140" i="3"/>
  <c r="J130" i="3"/>
  <c r="I130" i="3"/>
  <c r="H130" i="3"/>
  <c r="G130" i="3"/>
  <c r="G103" i="3"/>
  <c r="J103" i="3"/>
  <c r="I103" i="3"/>
  <c r="H103" i="3"/>
  <c r="K100" i="3"/>
  <c r="J100" i="3"/>
  <c r="I100" i="3"/>
  <c r="H100" i="3"/>
  <c r="G100" i="3"/>
  <c r="K99" i="3"/>
  <c r="J99" i="3"/>
  <c r="I99" i="3"/>
  <c r="H99" i="3"/>
  <c r="G99" i="3"/>
  <c r="G98" i="3"/>
  <c r="K98" i="3"/>
  <c r="J98" i="3"/>
  <c r="I98" i="3"/>
  <c r="H98" i="3"/>
  <c r="J94" i="3"/>
  <c r="I94" i="3"/>
  <c r="H94" i="3"/>
  <c r="G94" i="3"/>
  <c r="J77" i="3"/>
  <c r="I77" i="3"/>
  <c r="H77" i="3"/>
  <c r="G77" i="3"/>
  <c r="G35" i="3"/>
  <c r="J35" i="3"/>
  <c r="I35" i="3"/>
  <c r="H35" i="3"/>
  <c r="A34" i="3"/>
  <c r="J15" i="3"/>
  <c r="I15" i="3"/>
  <c r="H15" i="3"/>
  <c r="G15" i="3"/>
  <c r="J17" i="3"/>
  <c r="I17" i="3"/>
  <c r="H17" i="3"/>
  <c r="J31" i="3"/>
  <c r="I31" i="3"/>
  <c r="H31" i="3"/>
  <c r="G31" i="3"/>
  <c r="G17" i="3"/>
  <c r="J7" i="3"/>
  <c r="I7" i="3"/>
  <c r="H7" i="3"/>
  <c r="H5" i="3"/>
  <c r="I5" i="3" s="1"/>
  <c r="J5" i="3" s="1"/>
  <c r="K5" i="3" s="1"/>
  <c r="C5" i="3"/>
  <c r="D5" i="3" s="1"/>
  <c r="E5" i="3" s="1"/>
  <c r="F5" i="3" s="1"/>
  <c r="H2" i="1"/>
  <c r="D2" i="3" s="1"/>
  <c r="A5" i="3" s="1"/>
</calcChain>
</file>

<file path=xl/sharedStrings.xml><?xml version="1.0" encoding="utf-8"?>
<sst xmlns="http://schemas.openxmlformats.org/spreadsheetml/2006/main" count="1120" uniqueCount="720">
  <si>
    <t>Risk Factors</t>
  </si>
  <si>
    <t>Selected Financial Data</t>
  </si>
  <si>
    <t>4.2.1</t>
  </si>
  <si>
    <t>4.2.2</t>
  </si>
  <si>
    <t>Analisis 10-Q (Trimestal)</t>
  </si>
  <si>
    <t>Análisis 10-k "NOMBRE COMPAÑÍA" INVESTOR RELATIONS</t>
  </si>
  <si>
    <t>4.2 Balance Sheet</t>
  </si>
  <si>
    <t>A. ANÁLISIS FUNCIONAL</t>
  </si>
  <si>
    <t>Bussines overview</t>
  </si>
  <si>
    <t>4.3 CASH FLOW STATEMENT</t>
  </si>
  <si>
    <t>4.1 INCOME STATEMENT/ REVENUE QUE VAYA AUMENTANDO AÑO CON AÑO/ Net income QUE SEA RENTABLE E INCREMENTAL</t>
  </si>
  <si>
    <t>liabilities / ¿CUÁNTOS PASIVOS TIENE Y CUÁL ES LA RAZÓN DE ACTIVOS ENTRE PASIVOS?</t>
  </si>
  <si>
    <t>Assets / ¿CUÁNTOS ACTIVOS TIENE, SI ES incremental Y QUE EXISTAN MÁS ACTIVOS QUE PASIVOS?</t>
  </si>
  <si>
    <t>CASH IN SHORT-TERM INVESTMENT, QUE TENGA POCA DEUDA</t>
  </si>
  <si>
    <t>4.3.1</t>
  </si>
  <si>
    <t>4.3.2</t>
  </si>
  <si>
    <t>4.3.3</t>
  </si>
  <si>
    <t>FLUJO DE CAJA POR OPERACIONES / QUE SEA UN NÚMERO POSITIVO E INCREMENTAL</t>
  </si>
  <si>
    <t xml:space="preserve">F. DE C. POR INVERSIONES / SI ES POSITIVO ESTÁN VENDIENDO SUS INVERSIONES, SI ES NEGATIVO ESTÁN INVIRTIEND </t>
  </si>
  <si>
    <t>F. DE C. POR FINANCIAMIENTO / SI ES NEGATIVO ESTÁN PAGANDO DEUDA, SI ES POSITIVO SE ESTÁN ENDEUDANDO</t>
  </si>
  <si>
    <t>Management Discussión and Analysis</t>
  </si>
  <si>
    <t>1.1 INCOME STATEMENT/ REVENUE QUE VAYA AUMENTANDO AÑO CON AÑO/ Net income QUE SEA RENTABLE E INCREMENTAL</t>
  </si>
  <si>
    <t>1.2 Balance Sheet</t>
  </si>
  <si>
    <t>1.2.1</t>
  </si>
  <si>
    <t>1.2.2</t>
  </si>
  <si>
    <t>1.2.3</t>
  </si>
  <si>
    <t>1.3 CASH FLOW STATEMENT</t>
  </si>
  <si>
    <t>1.3.1</t>
  </si>
  <si>
    <t>1.3.2</t>
  </si>
  <si>
    <t>1.3.3</t>
  </si>
  <si>
    <t>VER LA CONFERENCIA DE INFORME A LOS INVERSIONISTAS POR PARTE DEL CEO / CFO</t>
  </si>
  <si>
    <t>ANALIZAR A LOS DIRECTIVOS</t>
  </si>
  <si>
    <t>ANÁLISIS DEL SECTOR Y DE LA COMPETENCIA</t>
  </si>
  <si>
    <t>NOTICIAS DE LA EMPRESA O NOTAS DE PRENSA</t>
  </si>
  <si>
    <t>Conferencias Y FUENTES EXTERNAS</t>
  </si>
  <si>
    <t>A.1 ANÁLISIS DE ESTADOS FINANCIEROS</t>
  </si>
  <si>
    <t>1. INCOME STATEMENT</t>
  </si>
  <si>
    <t>2. BALANCE SHEET</t>
  </si>
  <si>
    <t>3. CASH FLOW STATEMENT</t>
  </si>
  <si>
    <t>SELECTED FINANCIAL DATA REPORT 10Q</t>
  </si>
  <si>
    <t>SELECTED FINANCIAL DATA REPORT 10K</t>
  </si>
  <si>
    <t xml:space="preserve">NOMBRE DE LA COMPAÑIA:  </t>
  </si>
  <si>
    <t>EMPRESA EJEMPLO</t>
  </si>
  <si>
    <t>Gross Profit</t>
  </si>
  <si>
    <t>Pretax Income</t>
  </si>
  <si>
    <t xml:space="preserve">    Total Revenue</t>
  </si>
  <si>
    <t xml:space="preserve">        Business Revenue</t>
  </si>
  <si>
    <t xml:space="preserve">    Cost of Revenue</t>
  </si>
  <si>
    <t xml:space="preserve">        Cost of Goods and Services</t>
  </si>
  <si>
    <t>Operating Income/Expenses</t>
  </si>
  <si>
    <t xml:space="preserve">    Selling, General and Administrative Expenses</t>
  </si>
  <si>
    <t xml:space="preserve">        General and Administrative Expenses</t>
  </si>
  <si>
    <t xml:space="preserve">        Selling and Marketing Expenses</t>
  </si>
  <si>
    <t xml:space="preserve">    Research and Development Expenses</t>
  </si>
  <si>
    <t xml:space="preserve">    Other Income/Expense, Operating</t>
  </si>
  <si>
    <t>Total Operating Profit/Loss</t>
  </si>
  <si>
    <t>Non-Operating Income/Expenses, Total</t>
  </si>
  <si>
    <t xml:space="preserve">    Total Net Finance Income/Expense</t>
  </si>
  <si>
    <t xml:space="preserve">        Net Interest Income/Expense</t>
  </si>
  <si>
    <t xml:space="preserve">            Interest Expense Net of Capitalized Interest</t>
  </si>
  <si>
    <t xml:space="preserve">            Interest Income</t>
  </si>
  <si>
    <t xml:space="preserve">    Other Income/Expense, Non-Operating</t>
  </si>
  <si>
    <t xml:space="preserve">    Irregular Income/Expenses</t>
  </si>
  <si>
    <t>Provision for Income Tax</t>
  </si>
  <si>
    <t>Earnings from Equity Interest, Post-Tax</t>
  </si>
  <si>
    <t>Net Income from Continuing Operations</t>
  </si>
  <si>
    <t>Net Income after Extraordinary Items and Discontinued Operations</t>
  </si>
  <si>
    <t>Net Income after Non-Controlling/Minority Interests</t>
  </si>
  <si>
    <t>Net Income Available to Common Stockholders</t>
  </si>
  <si>
    <t>DATOS RECUPERADOS DE MORNINGSTAR.COM</t>
  </si>
  <si>
    <t>PORCENTAJE DE COMPORTAMIENTO</t>
  </si>
  <si>
    <t>Total Assets</t>
  </si>
  <si>
    <t xml:space="preserve">    Total Current Assets</t>
  </si>
  <si>
    <t xml:space="preserve">        Cash, Cash Equivalents and Short Term Investments</t>
  </si>
  <si>
    <t xml:space="preserve">            Cash and Cash Equivalents</t>
  </si>
  <si>
    <t xml:space="preserve">            Short Term Investments</t>
  </si>
  <si>
    <t xml:space="preserve">        Inventories</t>
  </si>
  <si>
    <t xml:space="preserve">            Finished Goods and Merchandise</t>
  </si>
  <si>
    <t xml:space="preserve">        Trade and Other Receivables, Current</t>
  </si>
  <si>
    <t xml:space="preserve">            Trade/Accounts Receivable, Current</t>
  </si>
  <si>
    <t xml:space="preserve">                Gross Trade/Accounts Receivable, Current</t>
  </si>
  <si>
    <t xml:space="preserve">                Allowance/Adjustments for Trade/Accounts Receivable, Current</t>
  </si>
  <si>
    <t xml:space="preserve">        Deferred Tax Assets, Current</t>
  </si>
  <si>
    <t xml:space="preserve">        Deferred Costs/Assets, Current</t>
  </si>
  <si>
    <t xml:space="preserve">    Total Non-Current Assets</t>
  </si>
  <si>
    <t xml:space="preserve">        Net Property, Plant and Equipment</t>
  </si>
  <si>
    <t xml:space="preserve">            Gross Property, Plant and Equipment</t>
  </si>
  <si>
    <t xml:space="preserve">                Properties</t>
  </si>
  <si>
    <t xml:space="preserve">                    Land and Improvements</t>
  </si>
  <si>
    <t xml:space="preserve">                Machinery, Furniture and Equipment</t>
  </si>
  <si>
    <t xml:space="preserve">                    Furniture, Fixtures and Office Equipment</t>
  </si>
  <si>
    <t xml:space="preserve">                Construction in Progress and Advance Payments</t>
  </si>
  <si>
    <t xml:space="preserve">                Leased Property, Plant and Equipment</t>
  </si>
  <si>
    <t xml:space="preserve">                Other Property, Plant and Equipment</t>
  </si>
  <si>
    <t xml:space="preserve">            Accumulated Depreciation and Impairment</t>
  </si>
  <si>
    <t xml:space="preserve">                Accumulated Depreciation</t>
  </si>
  <si>
    <t xml:space="preserve">        Net Intangible Assets</t>
  </si>
  <si>
    <t xml:space="preserve">            Gross Goodwill and Other Intangible Assets</t>
  </si>
  <si>
    <t xml:space="preserve">                Goodwill</t>
  </si>
  <si>
    <t xml:space="preserve">                Intangibles other than Goodwill</t>
  </si>
  <si>
    <t xml:space="preserve">                    Trademarks and Patents</t>
  </si>
  <si>
    <t xml:space="preserve">                    Software and Technology</t>
  </si>
  <si>
    <t xml:space="preserve">                    Customer Relationships</t>
  </si>
  <si>
    <t xml:space="preserve">                    Other Intangible Assets</t>
  </si>
  <si>
    <t xml:space="preserve">            Accumulated Amortization and Impairment</t>
  </si>
  <si>
    <t xml:space="preserve">                Accumulated Amortization of Intangible Assets</t>
  </si>
  <si>
    <t xml:space="preserve">                    Accumulated Amortization of Intangibles other than Goodwill</t>
  </si>
  <si>
    <t xml:space="preserve">                        Accumulated Amortization of Software and Technology</t>
  </si>
  <si>
    <t xml:space="preserve">                        Accumulated Amortization of Customer Relationships</t>
  </si>
  <si>
    <t xml:space="preserve">                        Accumulated Amortization of Other Intangible Assets</t>
  </si>
  <si>
    <t xml:space="preserve">        Other Non-Current Assets</t>
  </si>
  <si>
    <t xml:space="preserve">        Deferred Tax Assets, Non-Current</t>
  </si>
  <si>
    <t xml:space="preserve">        Deferred Costs/Assets, Non-Current</t>
  </si>
  <si>
    <t>Total Liabilities</t>
  </si>
  <si>
    <t xml:space="preserve">    Total Current Liabilities</t>
  </si>
  <si>
    <t xml:space="preserve">        Payables and Accrued Expenses, Current</t>
  </si>
  <si>
    <t xml:space="preserve">            Trade and Other Payables, Current</t>
  </si>
  <si>
    <t xml:space="preserve">                Trade/Accounts Payable, Current</t>
  </si>
  <si>
    <t xml:space="preserve">            Accrued Expenses, Current</t>
  </si>
  <si>
    <t xml:space="preserve">        Deferred Liabilities, Current</t>
  </si>
  <si>
    <t xml:space="preserve">            Deferred Income/Customer Advances/Billings in Excess of Cost, Current</t>
  </si>
  <si>
    <t xml:space="preserve">    Total Non-Current Liabilities</t>
  </si>
  <si>
    <t xml:space="preserve">        Financial Liabilities, Non-Current</t>
  </si>
  <si>
    <t xml:space="preserve">            Long Term Debt and Capital Lease Obligation</t>
  </si>
  <si>
    <t xml:space="preserve">                Long Term Debt</t>
  </si>
  <si>
    <t xml:space="preserve">                Capital Lease Obligations, Non-Current</t>
  </si>
  <si>
    <t xml:space="preserve">        Other Non-Current Liabilities</t>
  </si>
  <si>
    <t xml:space="preserve">        Tax Liabilities, Non-Current</t>
  </si>
  <si>
    <t xml:space="preserve">            Deferred Tax Liabilities, Non-Current</t>
  </si>
  <si>
    <t xml:space="preserve">            Provision for Tax Liabilities, Non-Current</t>
  </si>
  <si>
    <t>Total Equity</t>
  </si>
  <si>
    <t xml:space="preserve">    Equity Attributable to Parent Stockholders</t>
  </si>
  <si>
    <t>RESUMEN</t>
  </si>
  <si>
    <t>WORKING CAPITAL (CURRENT ASSETS - CURRENT LIABILITIES)</t>
  </si>
  <si>
    <t>CURRENT RATIO (CURRENT ASSETS / CURRENT LIABILITIES)</t>
  </si>
  <si>
    <t>TOTAL RATIO (TOTAL ASSETS /TOTAL LIABILITIES)</t>
  </si>
  <si>
    <t>&gt;1</t>
  </si>
  <si>
    <t>&gt;2 &lt;3</t>
  </si>
  <si>
    <t>Cash Flow from Operating Activities, Indirect</t>
  </si>
  <si>
    <t xml:space="preserve">    Net Cash Flow from Continuing Operating Activities, Indirect</t>
  </si>
  <si>
    <t xml:space="preserve">        Cash Generated from Operating Activities</t>
  </si>
  <si>
    <t xml:space="preserve">            Income/Loss before Non-Cash Adjustment</t>
  </si>
  <si>
    <t xml:space="preserve">            Total Adjustments for Non-Cash Items</t>
  </si>
  <si>
    <t xml:space="preserve">                Depreciation, Amortization and Depletion, Non-Cash Adjustment</t>
  </si>
  <si>
    <t xml:space="preserve">                    Depreciation and Amortization, Non-Cash Adjustment</t>
  </si>
  <si>
    <t xml:space="preserve">                        Depreciation, Non-Cash Adjustment</t>
  </si>
  <si>
    <t xml:space="preserve">                Stock-Based Compensation, Non-Cash Adjustment</t>
  </si>
  <si>
    <t xml:space="preserve">                Taxes, Non-Cash Adjustment</t>
  </si>
  <si>
    <t xml:space="preserve">                Other Non-Cash Items</t>
  </si>
  <si>
    <t xml:space="preserve">                Excess Tax Benefit from Stock-Based Compensation, Non-Cash Adjustment</t>
  </si>
  <si>
    <t xml:space="preserve">                Net Investment Income/Loss, Non-Cash Adjustment</t>
  </si>
  <si>
    <t xml:space="preserve">                    Gain/Loss on Financial Instruments, Non-Cash Adjustment</t>
  </si>
  <si>
    <t xml:space="preserve">                Irregular Income/Loss, Non-Cash Adjustment</t>
  </si>
  <si>
    <t xml:space="preserve">                    Gain/Loss on Disposals, Non-Cash Adjustment</t>
  </si>
  <si>
    <t xml:space="preserve">                Other Operating Gain/Loss, Non-Cash Adjustment</t>
  </si>
  <si>
    <t xml:space="preserve">            Changes in Operating Capital</t>
  </si>
  <si>
    <t xml:space="preserve">                Change in Inventories</t>
  </si>
  <si>
    <t xml:space="preserve">                Change in Trade and Other Receivables</t>
  </si>
  <si>
    <t xml:space="preserve">                    Change in Trade/Accounts Receivable</t>
  </si>
  <si>
    <t xml:space="preserve">                Change in Payables and Accrued Expenses</t>
  </si>
  <si>
    <t xml:space="preserve">                    Change in Trade and Other Payables</t>
  </si>
  <si>
    <t xml:space="preserve">                        Change in Trade/Accounts Payable</t>
  </si>
  <si>
    <t xml:space="preserve">                    Change in Accrued Expenses</t>
  </si>
  <si>
    <t xml:space="preserve">                Change in Deferred Assets/Liabilities</t>
  </si>
  <si>
    <t xml:space="preserve">                Change in Other Operating Capital</t>
  </si>
  <si>
    <t>Cash Flow from Investing Activities</t>
  </si>
  <si>
    <t xml:space="preserve">    Cash Flow from Continuing Investing Activities</t>
  </si>
  <si>
    <t xml:space="preserve">        Purchase/Sale and Disposal of Property, Plant and Equipment, Net</t>
  </si>
  <si>
    <t xml:space="preserve">            Purchase of Property, Plant and Equipment</t>
  </si>
  <si>
    <t xml:space="preserve">            Sale and Disposal of Property, Plant and Equipment</t>
  </si>
  <si>
    <t xml:space="preserve">        Purchase/Sale of Business, Net</t>
  </si>
  <si>
    <t xml:space="preserve">            Purchase/Acquisition of Business</t>
  </si>
  <si>
    <t xml:space="preserve">        Purchase/Sale of Investments, Net</t>
  </si>
  <si>
    <t xml:space="preserve">            Purchase of Investments</t>
  </si>
  <si>
    <t xml:space="preserve">            Sale of Investments</t>
  </si>
  <si>
    <t>Cash Flow from Financing Activities</t>
  </si>
  <si>
    <t xml:space="preserve">    Cash Flow from Continuing Financing Activities</t>
  </si>
  <si>
    <t xml:space="preserve">        Issuance of/Repayments for Debt, Net</t>
  </si>
  <si>
    <t xml:space="preserve">            Issuance of/Repayments for Short Term Debt, Net</t>
  </si>
  <si>
    <t xml:space="preserve">                Proceeds from Issuance of Short Term Debt</t>
  </si>
  <si>
    <t xml:space="preserve">                Repayments for Short Term Debt</t>
  </si>
  <si>
    <t xml:space="preserve">            Issuance of/Repayments for Long Term Debt, Net</t>
  </si>
  <si>
    <t xml:space="preserve">                Proceeds from Issuance of Long Term Debt</t>
  </si>
  <si>
    <t xml:space="preserve">                Repayments for Long Term Debt</t>
  </si>
  <si>
    <t xml:space="preserve">        Issuance of/Repayments for Lease Financing</t>
  </si>
  <si>
    <t xml:space="preserve">            Repayments for Lease Financing</t>
  </si>
  <si>
    <t xml:space="preserve">        Excess Tax Benefit from Share-Based Compensation, Financing Activities</t>
  </si>
  <si>
    <t>DATOS CONSULTADOS MORNINGSTAR.COM 2021</t>
  </si>
  <si>
    <t>A.1 ANÁLISIS DE ESTADOS FINANCIEROS TRIMESTRALES</t>
  </si>
  <si>
    <t>Legal procEedingS</t>
  </si>
  <si>
    <t>83,402,000,000</t>
  </si>
  <si>
    <t>131,310,000,000</t>
  </si>
  <si>
    <t>162,648,000,000</t>
  </si>
  <si>
    <t>225,248,000,000</t>
  </si>
  <si>
    <t>321,195,000,000</t>
  </si>
  <si>
    <t>45,781,000,000</t>
  </si>
  <si>
    <t>60,197,000,000</t>
  </si>
  <si>
    <t>75,101,000,000</t>
  </si>
  <si>
    <t>96,334,000,000</t>
  </si>
  <si>
    <t>132,733,000,000</t>
  </si>
  <si>
    <t>25,981,000,000</t>
  </si>
  <si>
    <t>30,986,000,000</t>
  </si>
  <si>
    <t>41,250,000,000</t>
  </si>
  <si>
    <t>55,021,000,000</t>
  </si>
  <si>
    <t>84,396,000,000</t>
  </si>
  <si>
    <t>19,334,000,000</t>
  </si>
  <si>
    <t>20,522,000,000</t>
  </si>
  <si>
    <t>31,750,000,000</t>
  </si>
  <si>
    <t>36,092,000,000</t>
  </si>
  <si>
    <t>42,122,000,000</t>
  </si>
  <si>
    <t>6,647,000,000</t>
  </si>
  <si>
    <t>10,464,000,000</t>
  </si>
  <si>
    <t>9,500,000,000</t>
  </si>
  <si>
    <t>18,929,000,000</t>
  </si>
  <si>
    <t>42,274,000,000</t>
  </si>
  <si>
    <t>11,461,000,000</t>
  </si>
  <si>
    <t>16,047,000,000</t>
  </si>
  <si>
    <t>17,174,000,000</t>
  </si>
  <si>
    <t>20,497,000,000</t>
  </si>
  <si>
    <t>23,795,000,000</t>
  </si>
  <si>
    <t>8,339,000,000</t>
  </si>
  <si>
    <t>13,164,000,000</t>
  </si>
  <si>
    <t>16,677,000,000</t>
  </si>
  <si>
    <t>20,816,000,000</t>
  </si>
  <si>
    <t>24,542,000,000</t>
  </si>
  <si>
    <t>8,576,000,000</t>
  </si>
  <si>
    <t>13,512,000,000</t>
  </si>
  <si>
    <t>17,172,000,000</t>
  </si>
  <si>
    <t>21,534,000,000</t>
  </si>
  <si>
    <t>25,542,000,000</t>
  </si>
  <si>
    <t>-237,000,000</t>
  </si>
  <si>
    <t>-348,000,000</t>
  </si>
  <si>
    <t>-495,000,000</t>
  </si>
  <si>
    <t>-718,000,000</t>
  </si>
  <si>
    <t>-1,000,000,000</t>
  </si>
  <si>
    <t/>
  </si>
  <si>
    <t>37,621,000,000</t>
  </si>
  <si>
    <t>71,113,000,000</t>
  </si>
  <si>
    <t>87,547,000,000</t>
  </si>
  <si>
    <t>128,914,000,000</t>
  </si>
  <si>
    <t>188,462,000,000</t>
  </si>
  <si>
    <t>29,114,000,000</t>
  </si>
  <si>
    <t>48,866,000,000</t>
  </si>
  <si>
    <t>61,797,000,000</t>
  </si>
  <si>
    <t>97,846,000,000</t>
  </si>
  <si>
    <t>150,667,000,000</t>
  </si>
  <si>
    <t>42,441,000,000</t>
  </si>
  <si>
    <t>68,573,000,000</t>
  </si>
  <si>
    <t>95,770,000,000</t>
  </si>
  <si>
    <t>144,821,000,000</t>
  </si>
  <si>
    <t>211,101,000,000</t>
  </si>
  <si>
    <t>13,998,000,000</t>
  </si>
  <si>
    <t>23,718,000,000</t>
  </si>
  <si>
    <t>31,741,000,000</t>
  </si>
  <si>
    <t>39,223,000,000</t>
  </si>
  <si>
    <t>57,324,000,000</t>
  </si>
  <si>
    <t>25,989,000,000</t>
  </si>
  <si>
    <t>38,387,000,000</t>
  </si>
  <si>
    <t>54,591,000,000</t>
  </si>
  <si>
    <t>71,310,000,000</t>
  </si>
  <si>
    <t>97,224,000,000</t>
  </si>
  <si>
    <t>1,805,000,000</t>
  </si>
  <si>
    <t>4,078,000,000</t>
  </si>
  <si>
    <t>6,861,000,000</t>
  </si>
  <si>
    <t>6,036,000,000</t>
  </si>
  <si>
    <t>15,228,000,000</t>
  </si>
  <si>
    <t>25,141,000,000</t>
  </si>
  <si>
    <t>37,553,000,000</t>
  </si>
  <si>
    <t>649,000,000</t>
  </si>
  <si>
    <t>2,390,000,000</t>
  </si>
  <si>
    <t>2,577,000,000</t>
  </si>
  <si>
    <t>3,111,000,000</t>
  </si>
  <si>
    <t>3,772,000,000</t>
  </si>
  <si>
    <t>-13,327,000,000</t>
  </si>
  <si>
    <t>-19,707,000,000</t>
  </si>
  <si>
    <t>-33,973,000,000</t>
  </si>
  <si>
    <t>-46,975,000,000</t>
  </si>
  <si>
    <t>-60,434,000,000</t>
  </si>
  <si>
    <t>4,638,000,000</t>
  </si>
  <si>
    <t>16,721,000,000</t>
  </si>
  <si>
    <t>18,658,000,000</t>
  </si>
  <si>
    <t>18,803,000,000</t>
  </si>
  <si>
    <t>19,998,000,000</t>
  </si>
  <si>
    <t>5,684,000,000</t>
  </si>
  <si>
    <t>17,772,000,000</t>
  </si>
  <si>
    <t>19,898,000,000</t>
  </si>
  <si>
    <t>20,052,000,000</t>
  </si>
  <si>
    <t>21,493,000,000</t>
  </si>
  <si>
    <t>3,784,000,000</t>
  </si>
  <si>
    <t>13,350,000,000</t>
  </si>
  <si>
    <t>14,548,000,000</t>
  </si>
  <si>
    <t>14,754,000,000</t>
  </si>
  <si>
    <t>15,017,000,000</t>
  </si>
  <si>
    <t>1,900,000,000</t>
  </si>
  <si>
    <t>4,422,000,000</t>
  </si>
  <si>
    <t>5,350,000,000</t>
  </si>
  <si>
    <t>5,298,000,000</t>
  </si>
  <si>
    <t>6,476,000,000</t>
  </si>
  <si>
    <t>1,143,000,000</t>
  </si>
  <si>
    <t>705,000,000</t>
  </si>
  <si>
    <t>640,000,000</t>
  </si>
  <si>
    <t>941,000,000</t>
  </si>
  <si>
    <t>1,011,000,000</t>
  </si>
  <si>
    <t>948,000,000</t>
  </si>
  <si>
    <t>299,000,000</t>
  </si>
  <si>
    <t>283,000,000</t>
  </si>
  <si>
    <t>437,000,000</t>
  </si>
  <si>
    <t>282,000,000</t>
  </si>
  <si>
    <t>179,000,000</t>
  </si>
  <si>
    <t>896,000,000</t>
  </si>
  <si>
    <t>3,499,000,000</t>
  </si>
  <si>
    <t>3,972,000,000</t>
  </si>
  <si>
    <t>4,005,000,000</t>
  </si>
  <si>
    <t>4,206,000,000</t>
  </si>
  <si>
    <t>-1,046,000,000</t>
  </si>
  <si>
    <t>-1,051,000,000</t>
  </si>
  <si>
    <t>-1,240,000,000</t>
  </si>
  <si>
    <t>-1,249,000,000</t>
  </si>
  <si>
    <t>-1,495,000,000</t>
  </si>
  <si>
    <t>-353,000,000</t>
  </si>
  <si>
    <t>-252,000,000</t>
  </si>
  <si>
    <t>-377,000,000</t>
  </si>
  <si>
    <t>-477,000,000</t>
  </si>
  <si>
    <t>-555,000,000</t>
  </si>
  <si>
    <t>-182,000,000</t>
  </si>
  <si>
    <t>-168,000,000</t>
  </si>
  <si>
    <t>-208,000,000</t>
  </si>
  <si>
    <t>-130,000,000</t>
  </si>
  <si>
    <t>-77,000,000</t>
  </si>
  <si>
    <t>-511,000,000</t>
  </si>
  <si>
    <t>-631,000,000</t>
  </si>
  <si>
    <t>-655,000,000</t>
  </si>
  <si>
    <t>-642,000,000</t>
  </si>
  <si>
    <t>-863,000,000</t>
  </si>
  <si>
    <t>3,869,000,000</t>
  </si>
  <si>
    <t>5,526,000,000</t>
  </si>
  <si>
    <t>7,092,000,000</t>
  </si>
  <si>
    <t>12,265,000,000</t>
  </si>
  <si>
    <t>17,797,000,000</t>
  </si>
  <si>
    <t>64,117,000,000</t>
  </si>
  <si>
    <t>103,601,000,000</t>
  </si>
  <si>
    <t>119,099,000,000</t>
  </si>
  <si>
    <t>163,188,000,000</t>
  </si>
  <si>
    <t>227,791,000,000</t>
  </si>
  <si>
    <t>43,816,000,000</t>
  </si>
  <si>
    <t>57,883,000,000</t>
  </si>
  <si>
    <t>68,391,000,000</t>
  </si>
  <si>
    <t>87,812,000,000</t>
  </si>
  <si>
    <t>126,385,000,000</t>
  </si>
  <si>
    <t>39,048,000,000</t>
  </si>
  <si>
    <t>52,786,000,000</t>
  </si>
  <si>
    <t>61,855,000,000</t>
  </si>
  <si>
    <t>79,622,000,000</t>
  </si>
  <si>
    <t>116,677,000,000</t>
  </si>
  <si>
    <t>25,309,000,000</t>
  </si>
  <si>
    <t>34,616,000,000</t>
  </si>
  <si>
    <t>38,192,000,000</t>
  </si>
  <si>
    <t>47,183,000,000</t>
  </si>
  <si>
    <t>72,539,000,000</t>
  </si>
  <si>
    <t>13,739,000,000</t>
  </si>
  <si>
    <t>18,170,000,000</t>
  </si>
  <si>
    <t>23,663,000,000</t>
  </si>
  <si>
    <t>32,439,000,000</t>
  </si>
  <si>
    <t>44,138,000,000</t>
  </si>
  <si>
    <t>4,768,000,000</t>
  </si>
  <si>
    <t>5,097,000,000</t>
  </si>
  <si>
    <t>6,536,000,000</t>
  </si>
  <si>
    <t>8,190,000,000</t>
  </si>
  <si>
    <t>9,708,000,000</t>
  </si>
  <si>
    <t>20,301,000,000</t>
  </si>
  <si>
    <t>45,718,000,000</t>
  </si>
  <si>
    <t>50,708,000,000</t>
  </si>
  <si>
    <t>75,376,000,000</t>
  </si>
  <si>
    <t>101,406,000,000</t>
  </si>
  <si>
    <t>15,213,000,000</t>
  </si>
  <si>
    <t>37,926,000,000</t>
  </si>
  <si>
    <t>39,787,000,000</t>
  </si>
  <si>
    <t>63,205,000,000</t>
  </si>
  <si>
    <t>84,389,000,000</t>
  </si>
  <si>
    <t>7,694,000,000</t>
  </si>
  <si>
    <t>24,743,000,000</t>
  </si>
  <si>
    <t>23,495,000,000</t>
  </si>
  <si>
    <t>23,414,000,000</t>
  </si>
  <si>
    <t>31,816,000,000</t>
  </si>
  <si>
    <t>7,519,000,000</t>
  </si>
  <si>
    <t>13,183,000,000</t>
  </si>
  <si>
    <t>16,292,000,000</t>
  </si>
  <si>
    <t>39,791,000,000</t>
  </si>
  <si>
    <t>52,573,000,000</t>
  </si>
  <si>
    <t>3,301,000,000</t>
  </si>
  <si>
    <t>5,798,000,000</t>
  </si>
  <si>
    <t>8,535,000,000</t>
  </si>
  <si>
    <t>12,171,000,000</t>
  </si>
  <si>
    <t>17,017,000,000</t>
  </si>
  <si>
    <t>1,787,000,000</t>
  </si>
  <si>
    <t>1,994,000,000</t>
  </si>
  <si>
    <t>2,386,000,000</t>
  </si>
  <si>
    <t>392,000,000</t>
  </si>
  <si>
    <t>990,000,000</t>
  </si>
  <si>
    <t>1,490,000,000</t>
  </si>
  <si>
    <t>1,395,000,000</t>
  </si>
  <si>
    <t>1,004,000,000</t>
  </si>
  <si>
    <t>19,285,000,000</t>
  </si>
  <si>
    <t>27,709,000,000</t>
  </si>
  <si>
    <t>43,549,000,000</t>
  </si>
  <si>
    <t>62,060,000,000</t>
  </si>
  <si>
    <t>93,404,000,000</t>
  </si>
  <si>
    <t>16,443,000,000</t>
  </si>
  <si>
    <t>18,434,000,000</t>
  </si>
  <si>
    <t>30,723,000,000</t>
  </si>
  <si>
    <t>38,514,000,000</t>
  </si>
  <si>
    <t>66,064,000,000</t>
  </si>
  <si>
    <t>2,371,000,000</t>
  </si>
  <si>
    <t>3,033,000,000</t>
  </si>
  <si>
    <t>10,073,000,000</t>
  </si>
  <si>
    <t>11,588,000,000</t>
  </si>
  <si>
    <t>21,331,000,000</t>
  </si>
  <si>
    <t>10,156,000,000</t>
  </si>
  <si>
    <t>15,574,000,000</t>
  </si>
  <si>
    <t>21,693,000,000</t>
  </si>
  <si>
    <t>29,364,000,000</t>
  </si>
  <si>
    <t>31,252,000,000</t>
  </si>
  <si>
    <t>8,116,000,000</t>
  </si>
  <si>
    <t>11,478,000,000</t>
  </si>
  <si>
    <t>15,341,000,000</t>
  </si>
  <si>
    <t>21,789,000,000</t>
  </si>
  <si>
    <t>25,251,000,000</t>
  </si>
  <si>
    <t>2,975,000,000</t>
  </si>
  <si>
    <t>4,215,000,000</t>
  </si>
  <si>
    <t>5,418,000,000</t>
  </si>
  <si>
    <t>6,864,000,000</t>
  </si>
  <si>
    <t>9,208,000,000</t>
  </si>
  <si>
    <t>-246,000,000</t>
  </si>
  <si>
    <t>-29,000,000</t>
  </si>
  <si>
    <t>441,000,000</t>
  </si>
  <si>
    <t>796,000,000</t>
  </si>
  <si>
    <t>-554,000,000</t>
  </si>
  <si>
    <t>140,000,000</t>
  </si>
  <si>
    <t>-90,000,000</t>
  </si>
  <si>
    <t>493,000,000</t>
  </si>
  <si>
    <t>-85,000,000</t>
  </si>
  <si>
    <t>-2,653,000,000</t>
  </si>
  <si>
    <t>-829,000,000</t>
  </si>
  <si>
    <t>3,916,000,000</t>
  </si>
  <si>
    <t>-173,000,000</t>
  </si>
  <si>
    <t>-1,043,000,000</t>
  </si>
  <si>
    <t>-2,438,000,000</t>
  </si>
  <si>
    <t>13,481,000,000</t>
  </si>
  <si>
    <t>-1,426,000,000</t>
  </si>
  <si>
    <t>-3,583,000,000</t>
  </si>
  <si>
    <t>-1,314,000,000</t>
  </si>
  <si>
    <t>-3,278,000,000</t>
  </si>
  <si>
    <t>-2,849,000,000</t>
  </si>
  <si>
    <t>-3,367,000,000</t>
  </si>
  <si>
    <t>-4,786,000,000</t>
  </si>
  <si>
    <t>-4,615,000,000</t>
  </si>
  <si>
    <t>-7,681,000,000</t>
  </si>
  <si>
    <t>-8,169,000,000</t>
  </si>
  <si>
    <t>6,754,000,000</t>
  </si>
  <si>
    <t>7,458,000,000</t>
  </si>
  <si>
    <t>3,735,000,000</t>
  </si>
  <si>
    <t>6,810,000,000</t>
  </si>
  <si>
    <t>23,234,000,000</t>
  </si>
  <si>
    <t>5,030,000,000</t>
  </si>
  <si>
    <t>7,175,000,000</t>
  </si>
  <si>
    <t>3,263,000,000</t>
  </si>
  <si>
    <t>8,193,000,000</t>
  </si>
  <si>
    <t>17,480,000,000</t>
  </si>
  <si>
    <t>1,724,000,000</t>
  </si>
  <si>
    <t>472,000,000</t>
  </si>
  <si>
    <t>-1,383,000,000</t>
  </si>
  <si>
    <t>5,754,000,000</t>
  </si>
  <si>
    <t>1,955,000,000</t>
  </si>
  <si>
    <t>738,000,000</t>
  </si>
  <si>
    <t>1,151,000,000</t>
  </si>
  <si>
    <t>1,711,000,000</t>
  </si>
  <si>
    <t>1,265,000,000</t>
  </si>
  <si>
    <t>-9,876,000,000</t>
  </si>
  <si>
    <t>-27,819,000,000</t>
  </si>
  <si>
    <t>-12,369,000,000</t>
  </si>
  <si>
    <t>-24,281,000,000</t>
  </si>
  <si>
    <t>-59,611,000,000</t>
  </si>
  <si>
    <t>-6,737,000,000</t>
  </si>
  <si>
    <t>-10,058,000,000</t>
  </si>
  <si>
    <t>-11,323,000,000</t>
  </si>
  <si>
    <t>-12,689,000,000</t>
  </si>
  <si>
    <t>-35,044,000,000</t>
  </si>
  <si>
    <t>-11,955,000,000</t>
  </si>
  <si>
    <t>-13,427,000,000</t>
  </si>
  <si>
    <t>-16,861,000,000</t>
  </si>
  <si>
    <t>-40,140,000,000</t>
  </si>
  <si>
    <t>1,897,000,000</t>
  </si>
  <si>
    <t>2,104,000,000</t>
  </si>
  <si>
    <t>4,172,000,000</t>
  </si>
  <si>
    <t>5,096,000,000</t>
  </si>
  <si>
    <t>-116,000,000</t>
  </si>
  <si>
    <t>-13,972,000,000</t>
  </si>
  <si>
    <t>-2,186,000,000</t>
  </si>
  <si>
    <t>-2,461,000,000</t>
  </si>
  <si>
    <t>-2,325,000,000</t>
  </si>
  <si>
    <t>-3,023,000,000</t>
  </si>
  <si>
    <t>-3,789,000,000</t>
  </si>
  <si>
    <t>1,140,000,000</t>
  </si>
  <si>
    <t>-9,131,000,000</t>
  </si>
  <si>
    <t>-22,242,000,000</t>
  </si>
  <si>
    <t>-7,756,000,000</t>
  </si>
  <si>
    <t>-13,777,000,000</t>
  </si>
  <si>
    <t>-7,100,000,000</t>
  </si>
  <si>
    <t>-31,812,000,000</t>
  </si>
  <si>
    <t>-72,479,000,000</t>
  </si>
  <si>
    <t>4,733,000,000</t>
  </si>
  <si>
    <t>9,988,000,000</t>
  </si>
  <si>
    <t>8,240,000,000</t>
  </si>
  <si>
    <t>22,681,000,000</t>
  </si>
  <si>
    <t>50,237,000,000</t>
  </si>
  <si>
    <t>-2,911,000,000</t>
  </si>
  <si>
    <t>9,860,000,000</t>
  </si>
  <si>
    <t>-7,686,000,000</t>
  </si>
  <si>
    <t>-10,066,000,000</t>
  </si>
  <si>
    <t>-1,104,000,000</t>
  </si>
  <si>
    <t>267,000,000</t>
  </si>
  <si>
    <t>14,859,000,000</t>
  </si>
  <si>
    <t>100,000,000</t>
  </si>
  <si>
    <t>-411,000,000</t>
  </si>
  <si>
    <t>9,591,000,000</t>
  </si>
  <si>
    <t>619,000,000</t>
  </si>
  <si>
    <t>6,796,000,000</t>
  </si>
  <si>
    <t>-6,177,000,000</t>
  </si>
  <si>
    <t>8,972,000,000</t>
  </si>
  <si>
    <t>621,000,000</t>
  </si>
  <si>
    <t>16,231,000,000</t>
  </si>
  <si>
    <t>768,000,000</t>
  </si>
  <si>
    <t>2,273,000,000</t>
  </si>
  <si>
    <t>10,525,000,000</t>
  </si>
  <si>
    <t>-354,000,000</t>
  </si>
  <si>
    <t>-1,372,000,000</t>
  </si>
  <si>
    <t>-668,000,000</t>
  </si>
  <si>
    <t>-2,684,000,000</t>
  </si>
  <si>
    <t>-1,553,000,000</t>
  </si>
  <si>
    <t>-4,007,000,000</t>
  </si>
  <si>
    <t>-4,999,000,000</t>
  </si>
  <si>
    <t>-7,786,000,000</t>
  </si>
  <si>
    <t>-9,655,000,000</t>
  </si>
  <si>
    <t>-10,695,000,000</t>
  </si>
  <si>
    <t>829,000,000</t>
  </si>
  <si>
    <t>30,103,000,000</t>
  </si>
  <si>
    <t>40,683,000,000</t>
  </si>
  <si>
    <t>59,704,000,000</t>
  </si>
  <si>
    <t>74,754,000,000</t>
  </si>
  <si>
    <t>94,240,000,000</t>
  </si>
  <si>
    <t>135,987,000,000</t>
  </si>
  <si>
    <t>177,866,000,000</t>
  </si>
  <si>
    <t>232,887,000,000</t>
  </si>
  <si>
    <t>280,522,000,000</t>
  </si>
  <si>
    <t>386,064,000,000</t>
  </si>
  <si>
    <t>-105,884,000,000</t>
  </si>
  <si>
    <t>-137,183,000,000</t>
  </si>
  <si>
    <t>-173,183,000,000</t>
  </si>
  <si>
    <t>-205,768,000,000</t>
  </si>
  <si>
    <t>-291,824,000,000</t>
  </si>
  <si>
    <t>-25,917,000,000</t>
  </si>
  <si>
    <t>-36,577,000,000</t>
  </si>
  <si>
    <t>-47,283,000,000</t>
  </si>
  <si>
    <t>-60,213,000,000</t>
  </si>
  <si>
    <t>-71,341,000,000</t>
  </si>
  <si>
    <t>-9,665,000,000</t>
  </si>
  <si>
    <t>-13,743,000,000</t>
  </si>
  <si>
    <t>-18,150,000,000</t>
  </si>
  <si>
    <t>-24,081,000,000</t>
  </si>
  <si>
    <t>-28,676,000,000</t>
  </si>
  <si>
    <t>-2,432,000,000</t>
  </si>
  <si>
    <t>-3,674,000,000</t>
  </si>
  <si>
    <t>-4,336,000,000</t>
  </si>
  <si>
    <t>-5,203,000,000</t>
  </si>
  <si>
    <t>-6,668,000,000</t>
  </si>
  <si>
    <t>-7,233,000,000</t>
  </si>
  <si>
    <t>-10,069,000,000</t>
  </si>
  <si>
    <t>-13,814,000,000</t>
  </si>
  <si>
    <t>-18,878,000,000</t>
  </si>
  <si>
    <t>-22,008,000,000</t>
  </si>
  <si>
    <t>-16,085,000,000</t>
  </si>
  <si>
    <t>-22,620,000,000</t>
  </si>
  <si>
    <t>-28,837,000,000</t>
  </si>
  <si>
    <t>-35,931,000,000</t>
  </si>
  <si>
    <t>-42,740,000,000</t>
  </si>
  <si>
    <t>-167,000,000</t>
  </si>
  <si>
    <t>-214,000,000</t>
  </si>
  <si>
    <t>-296,000,000</t>
  </si>
  <si>
    <t>-201,000,000</t>
  </si>
  <si>
    <t>75,000,000</t>
  </si>
  <si>
    <t>4,186,000,000</t>
  </si>
  <si>
    <t>4,106,000,000</t>
  </si>
  <si>
    <t>12,421,000,000</t>
  </si>
  <si>
    <t>14,541,000,000</t>
  </si>
  <si>
    <t>22,899,000,000</t>
  </si>
  <si>
    <t>-294,000,000</t>
  </si>
  <si>
    <t>-300,000,000</t>
  </si>
  <si>
    <t>-1,160,000,000</t>
  </si>
  <si>
    <t>-565,000,000</t>
  </si>
  <si>
    <t>1,279,000,000</t>
  </si>
  <si>
    <t>-384,000,000</t>
  </si>
  <si>
    <t>-646,000,000</t>
  </si>
  <si>
    <t>-977,000,000</t>
  </si>
  <si>
    <t>-768,000,000</t>
  </si>
  <si>
    <t>-1,092,000,000</t>
  </si>
  <si>
    <t>-484,000,000</t>
  </si>
  <si>
    <t>-848,000,000</t>
  </si>
  <si>
    <t>-1,417,000,000</t>
  </si>
  <si>
    <t>-1,600,000,000</t>
  </si>
  <si>
    <t>-1,647,000,000</t>
  </si>
  <si>
    <t>202,000,000</t>
  </si>
  <si>
    <t>440,000,000</t>
  </si>
  <si>
    <t>832,000,000</t>
  </si>
  <si>
    <t>555,000,000</t>
  </si>
  <si>
    <t>90,000,000</t>
  </si>
  <si>
    <t>346,000,000</t>
  </si>
  <si>
    <t>-183,000,000</t>
  </si>
  <si>
    <t>203,000,000</t>
  </si>
  <si>
    <t>3,892,000,000</t>
  </si>
  <si>
    <t>3,806,000,000</t>
  </si>
  <si>
    <t>11,261,000,000</t>
  </si>
  <si>
    <t>13,976,000,000</t>
  </si>
  <si>
    <t>24,178,000,000</t>
  </si>
  <si>
    <t>-1,425,000,000</t>
  </si>
  <si>
    <t>-769,000,000</t>
  </si>
  <si>
    <t>-1,197,000,000</t>
  </si>
  <si>
    <t>-2,374,000,000</t>
  </si>
  <si>
    <t>-2,863,000,000</t>
  </si>
  <si>
    <t>-96,000,000</t>
  </si>
  <si>
    <t>-4,000,000</t>
  </si>
  <si>
    <t>9,000,000</t>
  </si>
  <si>
    <t>-14,000,000</t>
  </si>
  <si>
    <t>16,000,000</t>
  </si>
  <si>
    <t>Q1 2020</t>
  </si>
  <si>
    <t>Q4 2020</t>
  </si>
  <si>
    <t>Q3 2020</t>
  </si>
  <si>
    <t>Q2 2020</t>
  </si>
  <si>
    <t>B. ANÁLISIS numérico</t>
  </si>
  <si>
    <t>INDICADORES BÁSICOS DE LAS ACCIONES</t>
  </si>
  <si>
    <t>PRECIO DE LA ACCIÓN</t>
  </si>
  <si>
    <t>PRICE:</t>
  </si>
  <si>
    <t>PRICE/EARNINGS (TTM):</t>
  </si>
  <si>
    <t>GANANCIAS POR ACCIÓN</t>
  </si>
  <si>
    <t>EARNIGS PER SHARE (TTM):</t>
  </si>
  <si>
    <t>VALOR ACTUAL DE LA ACCIÓN</t>
  </si>
  <si>
    <t>RATIO PRECIO/ GANANCIAS 5 AÑOS</t>
  </si>
  <si>
    <t>RAZÓN PRECIO/ GANANCIAS 12 MESES</t>
  </si>
  <si>
    <t>P/E RATIO (5YR):</t>
  </si>
  <si>
    <t>INDICADORES</t>
  </si>
  <si>
    <t>CANTIDAD</t>
  </si>
  <si>
    <t>DESCRIPCIÓN</t>
  </si>
  <si>
    <t>PLATAFORMA</t>
  </si>
  <si>
    <t>YAHOO FINANZAS</t>
  </si>
  <si>
    <t>MORNINGSTAR.COM</t>
  </si>
  <si>
    <t>MARGEN DE SEGURIDAD (PERFIL INVERSIONISTA)</t>
  </si>
  <si>
    <t>MSEG:</t>
  </si>
  <si>
    <t>P/E CON MSEG:</t>
  </si>
  <si>
    <t>CALCULAR P/ GANANCIAS CON MARGEN SEG</t>
  </si>
  <si>
    <t>TU LO DEFINES</t>
  </si>
  <si>
    <t>CALCULAR EL VALOR DEL NEGOCIO</t>
  </si>
  <si>
    <t>EPS * P/E CON MSEG:</t>
  </si>
  <si>
    <t>PRECIO SUGERIDO DE COMPRA</t>
  </si>
  <si>
    <t>CREC. PROMEDIO DE ACCIÓN 10 AÑOS</t>
  </si>
  <si>
    <t>AÑO</t>
  </si>
  <si>
    <t>GROWTH NET INCOME % 10 YR</t>
  </si>
  <si>
    <t>GROWTH NET INCOME % 5 YR</t>
  </si>
  <si>
    <t>GROWTH NET INCOME % 3 YR</t>
  </si>
  <si>
    <t>CREC. PROMEDIO DE ACCIÓN 5 AÑOS</t>
  </si>
  <si>
    <t>CREC. PROMEDIO DE ACCIÓN 3 AÑOS</t>
  </si>
  <si>
    <t>PRECIO DE LA ACCIÓN POR AÑO (%10YR)</t>
  </si>
  <si>
    <t>% GROWTH 10YR</t>
  </si>
  <si>
    <t>EARNIGS PER SHARE (EPS) (%10YR)</t>
  </si>
  <si>
    <t>LO QUE PAGA INVERSOR X UNIDAD DE BENEFICIO</t>
  </si>
  <si>
    <t>RATIO PROMEDIO DE LA ACCIÓN EN 5 AÑOS</t>
  </si>
  <si>
    <t>MARGEN DE COBERTURA DE RIESGO</t>
  </si>
  <si>
    <t>PER CONSIDERANDO COBERTURA DE SEGURID</t>
  </si>
  <si>
    <t>EARNIGS PER SHARE (EPS) (%5YR)</t>
  </si>
  <si>
    <t>PRECIO DE LA ACCIÓN POR AÑO (%5YR)</t>
  </si>
  <si>
    <t>EARNIGS PER SHARE (EPS) (%3YR)</t>
  </si>
  <si>
    <t>PRECIO DE LA ACCIÓN POR AÑO (%3YR)</t>
  </si>
  <si>
    <t>% GROWTH 3YR</t>
  </si>
  <si>
    <t>% GROWTH 5YR</t>
  </si>
  <si>
    <t>GROWTH NET INC % RANDOM</t>
  </si>
  <si>
    <t>CREC. PROMEDIO DE ACCIÓN ARBITRARIA</t>
  </si>
  <si>
    <t>EARNIGS PER SHARE (EPS) (%RANDOM)</t>
  </si>
  <si>
    <t>PRECIO DE LA ACCIÓN POR AÑO (%RANDOM)</t>
  </si>
  <si>
    <t>% GROWTH RANDOM</t>
  </si>
  <si>
    <t>CALCULAR EL PRECIO POTENCIAL DE LA ACCIÓN POR ESCENARIOS</t>
  </si>
  <si>
    <t>BUSCAR EL % DE CRECIMIENTO PARA DISTINTOS PLAZOS</t>
  </si>
  <si>
    <t>CONCLUSIÓN Y/O RECOMENDACIONES COMO ANALISTA E INVERSIONISTA</t>
  </si>
  <si>
    <t>NOMBRE DE LA EMPRESA:</t>
  </si>
  <si>
    <t>CATEGORIAS MARKET CAP</t>
  </si>
  <si>
    <t>INTERPRETACIÓN DEL P/E RATIO (PER)</t>
  </si>
  <si>
    <t>A</t>
  </si>
  <si>
    <t>MARKET CAP</t>
  </si>
  <si>
    <t>MARKET CAP:</t>
  </si>
  <si>
    <t>MUESTRA EL TAMAÑO DE LA EMPRESA</t>
  </si>
  <si>
    <t>SMALL CAP</t>
  </si>
  <si>
    <t>&lt; 2 BILLONES</t>
  </si>
  <si>
    <t>0-10</t>
  </si>
  <si>
    <t xml:space="preserve">1. La acción se encuentra infravalorada
</t>
  </si>
  <si>
    <t>MEDIUM CAP</t>
  </si>
  <si>
    <t>2 - 10 BILLONES</t>
  </si>
  <si>
    <t>2. Los inversores creen que los beneficios de la empresa tienden al declive.</t>
  </si>
  <si>
    <t>LARGE CAP</t>
  </si>
  <si>
    <t>10 - 200 BILLONES</t>
  </si>
  <si>
    <t>10-17</t>
  </si>
  <si>
    <t>1. Para la gran mayoría de analístas, este valor de PER es el adecuado</t>
  </si>
  <si>
    <t>MEGA CAP</t>
  </si>
  <si>
    <t>&gt; 200 BILLONES</t>
  </si>
  <si>
    <t>17-25</t>
  </si>
  <si>
    <t>1. La acción se encuentra sobrevalorada</t>
  </si>
  <si>
    <t>2. Los beneficios de la empresa han crecido desde resultados anteriores.</t>
  </si>
  <si>
    <t>3. Los inversores creen que en un futuro próximo los beneficios crecerán sustancialmente</t>
  </si>
  <si>
    <t>MULTIPLICA PE5YR * (1- MSEG)</t>
  </si>
  <si>
    <t>25+</t>
  </si>
  <si>
    <t>1. Grandes expectativas de crecimiento de los beneficios futuros</t>
  </si>
  <si>
    <t>SI QUIERO CUBRIR N% RIESGO</t>
  </si>
  <si>
    <t>2. La empresa se encuentra en el contexto de una burbuja financiera especulativa</t>
  </si>
  <si>
    <t>VALOR DE LA ACCIÓN CONSIDERANDO ESCENARIOS DE CRECIMIENTO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</si>
</sst>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.##"/>
  </numFmts>
  <fonts count="26" x14ac:knownFonts="1">
    <font>
      <sz val="11"/>
      <color theme="1"/>
      <name val="Arial Nova"/>
      <family val="2"/>
    </font>
    <font>
      <sz val="11"/>
      <color theme="1"/>
      <name val="Arial Nova"/>
      <family val="2"/>
    </font>
    <font>
      <u/>
      <sz val="11"/>
      <color theme="10"/>
      <name val="Arial Nova"/>
      <family val="2"/>
    </font>
    <font>
      <sz val="14"/>
      <color theme="0"/>
      <name val="Komika Axis"/>
    </font>
    <font>
      <sz val="18"/>
      <color theme="0"/>
      <name val="Komika Axis"/>
    </font>
    <font>
      <sz val="9"/>
      <color theme="0"/>
      <name val="Komika Axis"/>
    </font>
    <font>
      <b/>
      <sz val="12"/>
      <color theme="0"/>
      <name val="Komika Axis"/>
    </font>
    <font>
      <sz val="8"/>
      <color theme="0"/>
      <name val="Komika Axis"/>
    </font>
    <font>
      <u/>
      <sz val="8"/>
      <color theme="0"/>
      <name val="Komika Axis"/>
    </font>
    <font>
      <u/>
      <sz val="9"/>
      <color theme="10"/>
      <name val="Komika Axis"/>
    </font>
    <font>
      <sz val="11"/>
      <name val="Komika Axis"/>
    </font>
    <font>
      <sz val="18"/>
      <name val="Komika Axis"/>
    </font>
    <font>
      <sz val="9"/>
      <name val="Komika Axis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theme="1"/>
      <name val="Arial Nova"/>
      <family val="2"/>
    </font>
    <font>
      <b/>
      <i/>
      <sz val="11"/>
      <color theme="1"/>
      <name val="Arial Nova"/>
      <family val="2"/>
    </font>
    <font>
      <sz val="11"/>
      <name val="Arial Nova"/>
      <family val="2"/>
    </font>
    <font>
      <sz val="10"/>
      <name val="Arial"/>
      <family val="2"/>
    </font>
    <font>
      <sz val="9"/>
      <color theme="1"/>
      <name val="Komika Axis"/>
    </font>
    <font>
      <b/>
      <sz val="10"/>
      <color theme="1"/>
      <name val="Arial Nova"/>
      <family val="2"/>
    </font>
    <font>
      <sz val="9"/>
      <color theme="1"/>
      <name val="Arial Nova"/>
      <family val="2"/>
    </font>
    <font>
      <b/>
      <sz val="9"/>
      <color theme="0"/>
      <name val="Arial Nova"/>
      <family val="2"/>
    </font>
    <font>
      <b/>
      <i/>
      <sz val="10"/>
      <color theme="0"/>
      <name val="Arial Nova"/>
      <family val="2"/>
    </font>
    <font>
      <b/>
      <sz val="11"/>
      <color theme="0"/>
      <name val="Arial Nova"/>
      <family val="2"/>
    </font>
    <font>
      <b/>
      <sz val="10"/>
      <color theme="0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C5BCD"/>
        <bgColor indexed="64"/>
      </patternFill>
    </fill>
    <fill>
      <patternFill patternType="solid">
        <fgColor theme="7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</cellStyleXfs>
  <cellXfs count="118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15" fontId="5" fillId="2" borderId="0" xfId="0" applyNumberFormat="1" applyFont="1" applyFill="1"/>
    <xf numFmtId="0" fontId="7" fillId="2" borderId="0" xfId="0" applyFont="1" applyFill="1"/>
    <xf numFmtId="0" fontId="8" fillId="2" borderId="0" xfId="2" applyFont="1" applyFill="1"/>
    <xf numFmtId="0" fontId="5" fillId="2" borderId="0" xfId="0" applyFont="1" applyFill="1" applyAlignment="1">
      <alignment horizontal="right" vertical="center"/>
    </xf>
    <xf numFmtId="0" fontId="9" fillId="2" borderId="0" xfId="2" applyFont="1" applyFill="1"/>
    <xf numFmtId="0" fontId="11" fillId="0" borderId="0" xfId="0" applyFont="1" applyFill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/>
    </xf>
    <xf numFmtId="0" fontId="12" fillId="0" borderId="0" xfId="0" applyFont="1" applyFill="1" applyAlignment="1">
      <alignment horizontal="right"/>
    </xf>
    <xf numFmtId="0" fontId="13" fillId="0" borderId="0" xfId="0" applyFont="1" applyAlignment="1">
      <alignment horizontal="center"/>
    </xf>
    <xf numFmtId="0" fontId="12" fillId="0" borderId="0" xfId="0" applyFont="1" applyFill="1"/>
    <xf numFmtId="9" fontId="12" fillId="0" borderId="0" xfId="1" applyFont="1" applyFill="1" applyAlignment="1">
      <alignment horizontal="center" vertical="center"/>
    </xf>
    <xf numFmtId="0" fontId="14" fillId="3" borderId="0" xfId="0" applyFont="1" applyFill="1"/>
    <xf numFmtId="0" fontId="13" fillId="3" borderId="0" xfId="0" applyFont="1" applyFill="1"/>
    <xf numFmtId="0" fontId="16" fillId="0" borderId="0" xfId="0" applyFont="1"/>
    <xf numFmtId="0" fontId="14" fillId="0" borderId="0" xfId="0" applyFont="1"/>
    <xf numFmtId="164" fontId="0" fillId="0" borderId="0" xfId="0" applyNumberFormat="1" applyAlignment="1">
      <alignment horizontal="right"/>
    </xf>
    <xf numFmtId="3" fontId="15" fillId="0" borderId="5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3" fontId="15" fillId="0" borderId="6" xfId="0" applyNumberFormat="1" applyFont="1" applyBorder="1" applyAlignment="1">
      <alignment horizontal="right" vertical="center"/>
    </xf>
    <xf numFmtId="3" fontId="15" fillId="0" borderId="5" xfId="0" applyNumberFormat="1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3" fontId="15" fillId="0" borderId="6" xfId="0" applyNumberFormat="1" applyFont="1" applyBorder="1" applyAlignment="1">
      <alignment vertical="center"/>
    </xf>
    <xf numFmtId="3" fontId="15" fillId="0" borderId="7" xfId="0" applyNumberFormat="1" applyFont="1" applyBorder="1" applyAlignment="1">
      <alignment horizontal="right" vertical="center"/>
    </xf>
    <xf numFmtId="3" fontId="15" fillId="0" borderId="8" xfId="0" applyNumberFormat="1" applyFont="1" applyBorder="1" applyAlignment="1">
      <alignment horizontal="right" vertical="center"/>
    </xf>
    <xf numFmtId="3" fontId="15" fillId="0" borderId="9" xfId="0" applyNumberFormat="1" applyFont="1" applyBorder="1" applyAlignment="1">
      <alignment horizontal="right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2" fontId="10" fillId="0" borderId="0" xfId="0" applyNumberFormat="1" applyFont="1" applyFill="1"/>
    <xf numFmtId="3" fontId="17" fillId="0" borderId="16" xfId="0" applyNumberFormat="1" applyFont="1" applyFill="1" applyBorder="1" applyAlignment="1">
      <alignment horizontal="center" vertical="center"/>
    </xf>
    <xf numFmtId="3" fontId="17" fillId="0" borderId="1" xfId="0" applyNumberFormat="1" applyFont="1" applyFill="1" applyBorder="1" applyAlignment="1">
      <alignment horizontal="center" vertical="center"/>
    </xf>
    <xf numFmtId="3" fontId="17" fillId="0" borderId="17" xfId="0" applyNumberFormat="1" applyFont="1" applyFill="1" applyBorder="1" applyAlignment="1">
      <alignment horizontal="center" vertical="center"/>
    </xf>
    <xf numFmtId="4" fontId="17" fillId="0" borderId="16" xfId="0" applyNumberFormat="1" applyFont="1" applyFill="1" applyBorder="1" applyAlignment="1">
      <alignment horizontal="center" vertical="center"/>
    </xf>
    <xf numFmtId="4" fontId="17" fillId="0" borderId="1" xfId="0" applyNumberFormat="1" applyFont="1" applyFill="1" applyBorder="1" applyAlignment="1">
      <alignment horizontal="center" vertical="center"/>
    </xf>
    <xf numFmtId="4" fontId="17" fillId="0" borderId="17" xfId="0" applyNumberFormat="1" applyFont="1" applyFill="1" applyBorder="1" applyAlignment="1">
      <alignment horizontal="center" vertical="center"/>
    </xf>
    <xf numFmtId="4" fontId="17" fillId="0" borderId="18" xfId="0" applyNumberFormat="1" applyFont="1" applyFill="1" applyBorder="1" applyAlignment="1">
      <alignment horizontal="center" vertical="center"/>
    </xf>
    <xf numFmtId="4" fontId="17" fillId="0" borderId="19" xfId="0" applyNumberFormat="1" applyFont="1" applyFill="1" applyBorder="1" applyAlignment="1">
      <alignment horizontal="center" vertical="center"/>
    </xf>
    <xf numFmtId="4" fontId="17" fillId="0" borderId="20" xfId="0" applyNumberFormat="1" applyFont="1" applyFill="1" applyBorder="1" applyAlignment="1">
      <alignment horizontal="center" vertical="center"/>
    </xf>
    <xf numFmtId="0" fontId="16" fillId="3" borderId="0" xfId="0" applyFont="1" applyFill="1"/>
    <xf numFmtId="164" fontId="0" fillId="0" borderId="2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164" fontId="0" fillId="0" borderId="7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12" fillId="0" borderId="10" xfId="0" applyFont="1" applyFill="1" applyBorder="1" applyAlignment="1">
      <alignment horizontal="center" vertical="center"/>
    </xf>
    <xf numFmtId="0" fontId="19" fillId="0" borderId="0" xfId="0" applyFont="1"/>
    <xf numFmtId="0" fontId="15" fillId="0" borderId="0" xfId="0" applyFont="1"/>
    <xf numFmtId="4" fontId="15" fillId="0" borderId="0" xfId="0" applyNumberFormat="1" applyFont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4" fontId="15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9" fontId="15" fillId="0" borderId="1" xfId="0" applyNumberFormat="1" applyFont="1" applyBorder="1" applyAlignment="1">
      <alignment vertical="center"/>
    </xf>
    <xf numFmtId="10" fontId="15" fillId="0" borderId="1" xfId="1" applyNumberFormat="1" applyFont="1" applyBorder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9" fontId="15" fillId="0" borderId="1" xfId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11" fillId="0" borderId="0" xfId="0" applyFont="1"/>
    <xf numFmtId="15" fontId="12" fillId="0" borderId="0" xfId="0" applyNumberFormat="1" applyFont="1"/>
    <xf numFmtId="0" fontId="20" fillId="0" borderId="0" xfId="0" applyFont="1"/>
    <xf numFmtId="0" fontId="23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right" vertical="center"/>
    </xf>
    <xf numFmtId="15" fontId="12" fillId="0" borderId="0" xfId="0" applyNumberFormat="1" applyFont="1" applyAlignment="1">
      <alignment vertical="center"/>
    </xf>
    <xf numFmtId="0" fontId="0" fillId="0" borderId="21" xfId="0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vertical="center"/>
    </xf>
    <xf numFmtId="0" fontId="0" fillId="0" borderId="23" xfId="0" applyBorder="1"/>
    <xf numFmtId="0" fontId="0" fillId="0" borderId="24" xfId="0" applyBorder="1"/>
    <xf numFmtId="49" fontId="0" fillId="0" borderId="16" xfId="0" applyNumberForma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0" fillId="0" borderId="2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</cellXfs>
  <cellStyles count="4">
    <cellStyle name="Hipervínculo" xfId="2" builtinId="8"/>
    <cellStyle name="Normal" xfId="0" builtinId="0"/>
    <cellStyle name="Normal 2" xfId="3" xr:uid="{7055C5CD-0F6F-46F9-97D6-4FA851CD895B}"/>
    <cellStyle name="Porcentaje" xfId="1" builtinId="5"/>
  </cellStyles>
  <dxfs count="0"/>
  <tableStyles count="1" defaultTableStyle="TableStyleMedium2" defaultPivotStyle="PivotStyleLight16">
    <tableStyle name="Invisible" pivot="0" table="0" count="0" xr9:uid="{61DDD353-0235-418E-BDAE-A7DD1EC29A54}"/>
  </tableStyles>
  <colors>
    <mruColors>
      <color rgb="FF651EA0"/>
      <color rgb="FF9C5B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12" Type="http://schemas.openxmlformats.org/officeDocument/2006/relationships/hyperlink" Target="#ANALISIS_10Q"/><Relationship Id="rId2" Type="http://schemas.openxmlformats.org/officeDocument/2006/relationships/image" Target="../media/image1.png"/><Relationship Id="rId16" Type="http://schemas.openxmlformats.org/officeDocument/2006/relationships/image" Target="../media/image11.png"/><Relationship Id="rId1" Type="http://schemas.openxmlformats.org/officeDocument/2006/relationships/hyperlink" Target="#CONFERENCIAS"/><Relationship Id="rId6" Type="http://schemas.openxmlformats.org/officeDocument/2006/relationships/hyperlink" Target="#ANALISIS_FUNCIO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10.png"/><Relationship Id="rId10" Type="http://schemas.openxmlformats.org/officeDocument/2006/relationships/hyperlink" Target="#ANALISIS_10K"/><Relationship Id="rId4" Type="http://schemas.openxmlformats.org/officeDocument/2006/relationships/image" Target="../media/image3.png"/><Relationship Id="rId9" Type="http://schemas.openxmlformats.org/officeDocument/2006/relationships/hyperlink" Target="#'AN&#193;LISIS CUANTITATIVO'!A1"/><Relationship Id="rId14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ORTADA!A1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hyperlink" Target="#FINANCIAL_DATA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hyperlink" Target="#ANALISIS_10Q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499961</xdr:colOff>
      <xdr:row>31</xdr:row>
      <xdr:rowOff>1</xdr:rowOff>
    </xdr:from>
    <xdr:to>
      <xdr:col>7</xdr:col>
      <xdr:colOff>511965</xdr:colOff>
      <xdr:row>34</xdr:row>
      <xdr:rowOff>95254</xdr:rowOff>
    </xdr:to>
    <xdr:grpSp>
      <xdr:nvGrpSpPr>
        <xdr:cNvPr id="45" name="Grupo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799326-BDF7-4116-AE5A-27DBAFF45C34}"/>
            </a:ext>
          </a:extLst>
        </xdr:cNvPr>
        <xdr:cNvGrpSpPr/>
      </xdr:nvGrpSpPr>
      <xdr:grpSpPr>
        <a:xfrm>
          <a:off x="4667149" y="5750720"/>
          <a:ext cx="1678879" cy="631034"/>
          <a:chOff x="4143276" y="5536407"/>
          <a:chExt cx="1678879" cy="631035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1C9C6016-71F9-452B-ADC4-87CF757415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43276" y="5571764"/>
            <a:ext cx="1536005" cy="566936"/>
          </a:xfrm>
          <a:prstGeom prst="rect">
            <a:avLst/>
          </a:prstGeom>
        </xdr:spPr>
      </xdr:pic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B42210A8-4FC5-4C07-A297-2EC6D4AE04D0}"/>
              </a:ext>
            </a:extLst>
          </xdr:cNvPr>
          <xdr:cNvSpPr txBox="1"/>
        </xdr:nvSpPr>
        <xdr:spPr>
          <a:xfrm>
            <a:off x="4345779" y="5536407"/>
            <a:ext cx="1476376" cy="6310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MX" sz="1100" u="none">
                <a:solidFill>
                  <a:schemeClr val="bg1"/>
                </a:solidFill>
                <a:latin typeface="Komika Axis" panose="02000506000000020004" pitchFamily="2" charset="0"/>
              </a:rPr>
              <a:t>3. ANÁLISIS</a:t>
            </a:r>
            <a:r>
              <a:rPr lang="es-MX" sz="1100" u="none" baseline="0">
                <a:solidFill>
                  <a:schemeClr val="bg1"/>
                </a:solidFill>
                <a:latin typeface="Komika Axis" panose="02000506000000020004" pitchFamily="2" charset="0"/>
              </a:rPr>
              <a:t> CONFERENCIAS</a:t>
            </a:r>
            <a:endParaRPr lang="es-MX" sz="1100" u="none">
              <a:solidFill>
                <a:schemeClr val="bg1"/>
              </a:solidFill>
              <a:latin typeface="Komika Axis" panose="02000506000000020004" pitchFamily="2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473122</xdr:colOff>
      <xdr:row>37</xdr:row>
      <xdr:rowOff>2930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C6F778-8E76-49F8-837B-2DE48BD75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2759326" y="2759326"/>
          <a:ext cx="6825211" cy="1306560"/>
        </a:xfrm>
        <a:prstGeom prst="rect">
          <a:avLst/>
        </a:prstGeom>
      </xdr:spPr>
    </xdr:pic>
    <xdr:clientData/>
  </xdr:twoCellAnchor>
  <xdr:twoCellAnchor editAs="oneCell">
    <xdr:from>
      <xdr:col>1</xdr:col>
      <xdr:colOff>265890</xdr:colOff>
      <xdr:row>7</xdr:row>
      <xdr:rowOff>102553</xdr:rowOff>
    </xdr:from>
    <xdr:to>
      <xdr:col>1</xdr:col>
      <xdr:colOff>773908</xdr:colOff>
      <xdr:row>9</xdr:row>
      <xdr:rowOff>36513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14B496E-A0EB-4C9C-A234-97C731E67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328" y="1352709"/>
          <a:ext cx="508018" cy="505460"/>
        </a:xfrm>
        <a:prstGeom prst="rect">
          <a:avLst/>
        </a:prstGeom>
      </xdr:spPr>
    </xdr:pic>
    <xdr:clientData/>
  </xdr:twoCellAnchor>
  <xdr:twoCellAnchor>
    <xdr:from>
      <xdr:col>6</xdr:col>
      <xdr:colOff>35714</xdr:colOff>
      <xdr:row>0</xdr:row>
      <xdr:rowOff>0</xdr:rowOff>
    </xdr:from>
    <xdr:to>
      <xdr:col>12</xdr:col>
      <xdr:colOff>631027</xdr:colOff>
      <xdr:row>5</xdr:row>
      <xdr:rowOff>1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10A9927E-9DEC-4691-B026-EAD93032AA1A}"/>
            </a:ext>
          </a:extLst>
        </xdr:cNvPr>
        <xdr:cNvGrpSpPr/>
      </xdr:nvGrpSpPr>
      <xdr:grpSpPr>
        <a:xfrm>
          <a:off x="5036339" y="0"/>
          <a:ext cx="5595938" cy="892970"/>
          <a:chOff x="5429249" y="166686"/>
          <a:chExt cx="5595938" cy="892970"/>
        </a:xfrm>
      </xdr:grpSpPr>
      <xdr:pic>
        <xdr:nvPicPr>
          <xdr:cNvPr id="7" name="Imagen 6">
            <a:extLst>
              <a:ext uri="{FF2B5EF4-FFF2-40B4-BE49-F238E27FC236}">
                <a16:creationId xmlns:a16="http://schemas.microsoft.com/office/drawing/2014/main" id="{7D4C383D-6C1E-407D-9821-C753995520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70399" y="229596"/>
            <a:ext cx="871262" cy="830060"/>
          </a:xfrm>
          <a:prstGeom prst="rect">
            <a:avLst/>
          </a:prstGeom>
        </xdr:spPr>
      </xdr:pic>
      <xdr:grpSp>
        <xdr:nvGrpSpPr>
          <xdr:cNvPr id="40" name="Grupo 39">
            <a:extLst>
              <a:ext uri="{FF2B5EF4-FFF2-40B4-BE49-F238E27FC236}">
                <a16:creationId xmlns:a16="http://schemas.microsoft.com/office/drawing/2014/main" id="{4AE15441-B46C-4703-A5E7-BB27DCE29F94}"/>
              </a:ext>
            </a:extLst>
          </xdr:cNvPr>
          <xdr:cNvGrpSpPr/>
        </xdr:nvGrpSpPr>
        <xdr:grpSpPr>
          <a:xfrm>
            <a:off x="5429249" y="166686"/>
            <a:ext cx="5595938" cy="785811"/>
            <a:chOff x="5429249" y="166686"/>
            <a:chExt cx="5595938" cy="785811"/>
          </a:xfrm>
        </xdr:grpSpPr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F0C43D51-C456-4B4C-9A6E-E0B22EC47240}"/>
                </a:ext>
              </a:extLst>
            </xdr:cNvPr>
            <xdr:cNvSpPr txBox="1"/>
          </xdr:nvSpPr>
          <xdr:spPr>
            <a:xfrm>
              <a:off x="5429249" y="166686"/>
              <a:ext cx="2214563" cy="773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s-MX" sz="2800">
                  <a:solidFill>
                    <a:schemeClr val="bg1"/>
                  </a:solidFill>
                  <a:latin typeface="Komika Axis" panose="02000506000000020004" pitchFamily="2" charset="0"/>
                </a:rPr>
                <a:t>ANÁLISIS</a:t>
              </a:r>
            </a:p>
          </xdr:txBody>
        </xdr:sp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D1A4F7E9-558D-4B24-A788-F7F036ADCDE1}"/>
                </a:ext>
              </a:extLst>
            </xdr:cNvPr>
            <xdr:cNvSpPr txBox="1"/>
          </xdr:nvSpPr>
          <xdr:spPr>
            <a:xfrm>
              <a:off x="8810624" y="178592"/>
              <a:ext cx="2214563" cy="773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s-MX" sz="2800">
                  <a:solidFill>
                    <a:schemeClr val="bg1"/>
                  </a:solidFill>
                  <a:latin typeface="Komika Axis" panose="02000506000000020004" pitchFamily="2" charset="0"/>
                </a:rPr>
                <a:t>ACCIONES</a:t>
              </a:r>
            </a:p>
          </xdr:txBody>
        </xdr:sp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78B7ABC5-2C36-4088-8E88-09EBF6DF427C}"/>
                </a:ext>
              </a:extLst>
            </xdr:cNvPr>
            <xdr:cNvSpPr txBox="1"/>
          </xdr:nvSpPr>
          <xdr:spPr>
            <a:xfrm>
              <a:off x="7096125" y="178592"/>
              <a:ext cx="2214563" cy="773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s-MX" sz="2800">
                  <a:solidFill>
                    <a:schemeClr val="bg1"/>
                  </a:solidFill>
                  <a:latin typeface="Komika Axis" panose="02000506000000020004" pitchFamily="2" charset="0"/>
                </a:rPr>
                <a:t>DE</a:t>
              </a:r>
            </a:p>
          </xdr:txBody>
        </xdr:sp>
      </xdr:grpSp>
    </xdr:grpSp>
    <xdr:clientData/>
  </xdr:twoCellAnchor>
  <xdr:twoCellAnchor>
    <xdr:from>
      <xdr:col>2</xdr:col>
      <xdr:colOff>531270</xdr:colOff>
      <xdr:row>11</xdr:row>
      <xdr:rowOff>11911</xdr:rowOff>
    </xdr:from>
    <xdr:to>
      <xdr:col>6</xdr:col>
      <xdr:colOff>47623</xdr:colOff>
      <xdr:row>15</xdr:row>
      <xdr:rowOff>161928</xdr:rowOff>
    </xdr:to>
    <xdr:grpSp>
      <xdr:nvGrpSpPr>
        <xdr:cNvPr id="37" name="Grupo 3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9F6E928-4C4C-46CE-B3A9-3BE3213B5CFE}"/>
            </a:ext>
          </a:extLst>
        </xdr:cNvPr>
        <xdr:cNvGrpSpPr/>
      </xdr:nvGrpSpPr>
      <xdr:grpSpPr>
        <a:xfrm>
          <a:off x="2198145" y="2190755"/>
          <a:ext cx="2850103" cy="864392"/>
          <a:chOff x="1412335" y="1916910"/>
          <a:chExt cx="2850103" cy="864392"/>
        </a:xfrm>
      </xdr:grpSpPr>
      <xdr:pic>
        <xdr:nvPicPr>
          <xdr:cNvPr id="23" name="Imagen 22">
            <a:extLst>
              <a:ext uri="{FF2B5EF4-FFF2-40B4-BE49-F238E27FC236}">
                <a16:creationId xmlns:a16="http://schemas.microsoft.com/office/drawing/2014/main" id="{AB646D48-A2F6-46ED-A34E-4E1F593B1B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12335" y="1986549"/>
            <a:ext cx="2664590" cy="794753"/>
          </a:xfrm>
          <a:prstGeom prst="rect">
            <a:avLst/>
          </a:prstGeom>
        </xdr:spPr>
      </xdr:pic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AAEB1E70-1B36-4BB3-8C2B-7546E52030CB}"/>
              </a:ext>
            </a:extLst>
          </xdr:cNvPr>
          <xdr:cNvSpPr txBox="1"/>
        </xdr:nvSpPr>
        <xdr:spPr>
          <a:xfrm>
            <a:off x="1821656" y="1916910"/>
            <a:ext cx="2440782" cy="7739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MX" sz="1400" u="none">
                <a:solidFill>
                  <a:schemeClr val="bg1"/>
                </a:solidFill>
                <a:latin typeface="Komika Axis" panose="02000506000000020004" pitchFamily="2" charset="0"/>
              </a:rPr>
              <a:t>A. ANÁLISIS FUNCIONAL</a:t>
            </a:r>
          </a:p>
        </xdr:txBody>
      </xdr:sp>
    </xdr:grpSp>
    <xdr:clientData/>
  </xdr:twoCellAnchor>
  <xdr:twoCellAnchor>
    <xdr:from>
      <xdr:col>12</xdr:col>
      <xdr:colOff>225262</xdr:colOff>
      <xdr:row>10</xdr:row>
      <xdr:rowOff>166690</xdr:rowOff>
    </xdr:from>
    <xdr:to>
      <xdr:col>15</xdr:col>
      <xdr:colOff>380998</xdr:colOff>
      <xdr:row>15</xdr:row>
      <xdr:rowOff>166710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B0627138-E1C0-479D-ADC2-21F02E607AA0}"/>
            </a:ext>
          </a:extLst>
        </xdr:cNvPr>
        <xdr:cNvGrpSpPr/>
      </xdr:nvGrpSpPr>
      <xdr:grpSpPr>
        <a:xfrm>
          <a:off x="10226512" y="2166940"/>
          <a:ext cx="2656049" cy="892989"/>
          <a:chOff x="11036139" y="1928816"/>
          <a:chExt cx="2656049" cy="892988"/>
        </a:xfrm>
      </xdr:grpSpPr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047E3A79-478D-4EBF-8969-E7C0937286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36139" y="2027050"/>
            <a:ext cx="2656049" cy="794754"/>
          </a:xfrm>
          <a:prstGeom prst="rect">
            <a:avLst/>
          </a:prstGeom>
        </xdr:spPr>
      </xdr:pic>
      <xdr:sp macro="" textlink="">
        <xdr:nvSpPr>
          <xdr:cNvPr id="31" name="CuadroTexto 3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94FEB777-B608-4858-90DF-D5E9EC0A9B36}"/>
              </a:ext>
            </a:extLst>
          </xdr:cNvPr>
          <xdr:cNvSpPr txBox="1"/>
        </xdr:nvSpPr>
        <xdr:spPr>
          <a:xfrm>
            <a:off x="11096625" y="1928816"/>
            <a:ext cx="2500312" cy="7739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MX" sz="1400" u="none">
                <a:solidFill>
                  <a:schemeClr val="bg1"/>
                </a:solidFill>
                <a:latin typeface="Komika Axis" panose="02000506000000020004" pitchFamily="2" charset="0"/>
              </a:rPr>
              <a:t>B. ANÁLISIS NUMÉRICO</a:t>
            </a:r>
          </a:p>
        </xdr:txBody>
      </xdr:sp>
    </xdr:grpSp>
    <xdr:clientData/>
  </xdr:twoCellAnchor>
  <xdr:twoCellAnchor>
    <xdr:from>
      <xdr:col>2</xdr:col>
      <xdr:colOff>610072</xdr:colOff>
      <xdr:row>18</xdr:row>
      <xdr:rowOff>172759</xdr:rowOff>
    </xdr:from>
    <xdr:to>
      <xdr:col>4</xdr:col>
      <xdr:colOff>290701</xdr:colOff>
      <xdr:row>22</xdr:row>
      <xdr:rowOff>145450</xdr:rowOff>
    </xdr:to>
    <xdr:grpSp>
      <xdr:nvGrpSpPr>
        <xdr:cNvPr id="46" name="Grupo 4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8DCB07C-4BBE-41AE-84AB-5111363D1535}"/>
            </a:ext>
          </a:extLst>
        </xdr:cNvPr>
        <xdr:cNvGrpSpPr/>
      </xdr:nvGrpSpPr>
      <xdr:grpSpPr>
        <a:xfrm>
          <a:off x="2276947" y="3601759"/>
          <a:ext cx="1347504" cy="687066"/>
          <a:chOff x="1753074" y="3387447"/>
          <a:chExt cx="1347504" cy="687066"/>
        </a:xfrm>
      </xdr:grpSpPr>
      <xdr:pic>
        <xdr:nvPicPr>
          <xdr:cNvPr id="17" name="Imagen 16">
            <a:extLst>
              <a:ext uri="{FF2B5EF4-FFF2-40B4-BE49-F238E27FC236}">
                <a16:creationId xmlns:a16="http://schemas.microsoft.com/office/drawing/2014/main" id="{4C3F2148-075B-42B7-A9B0-27A31C3094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53074" y="3387447"/>
            <a:ext cx="1347504" cy="687066"/>
          </a:xfrm>
          <a:prstGeom prst="rect">
            <a:avLst/>
          </a:prstGeom>
        </xdr:spPr>
      </xdr:pic>
      <xdr:sp macro="" textlink="">
        <xdr:nvSpPr>
          <xdr:cNvPr id="36" name="CuadroTexto 35">
            <a:extLst>
              <a:ext uri="{FF2B5EF4-FFF2-40B4-BE49-F238E27FC236}">
                <a16:creationId xmlns:a16="http://schemas.microsoft.com/office/drawing/2014/main" id="{5FCFFEF2-DEF1-4078-B42F-C6A533DD7452}"/>
              </a:ext>
            </a:extLst>
          </xdr:cNvPr>
          <xdr:cNvSpPr txBox="1"/>
        </xdr:nvSpPr>
        <xdr:spPr>
          <a:xfrm>
            <a:off x="1774031" y="3429002"/>
            <a:ext cx="1273968" cy="5000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MX" sz="1100" u="none">
                <a:solidFill>
                  <a:schemeClr val="bg1"/>
                </a:solidFill>
                <a:latin typeface="Komika Axis" panose="02000506000000020004" pitchFamily="2" charset="0"/>
              </a:rPr>
              <a:t>1. ANÁLISIS</a:t>
            </a:r>
            <a:r>
              <a:rPr lang="es-MX" sz="1100" u="none" baseline="0">
                <a:solidFill>
                  <a:schemeClr val="bg1"/>
                </a:solidFill>
                <a:latin typeface="Komika Axis" panose="02000506000000020004" pitchFamily="2" charset="0"/>
              </a:rPr>
              <a:t> 10K</a:t>
            </a:r>
            <a:endParaRPr lang="es-MX" sz="1100" u="none">
              <a:solidFill>
                <a:schemeClr val="bg1"/>
              </a:solidFill>
              <a:latin typeface="Komika Axis" panose="02000506000000020004" pitchFamily="2" charset="0"/>
            </a:endParaRPr>
          </a:p>
        </xdr:txBody>
      </xdr:sp>
    </xdr:grpSp>
    <xdr:clientData/>
  </xdr:twoCellAnchor>
  <xdr:twoCellAnchor editAs="oneCell">
    <xdr:from>
      <xdr:col>17</xdr:col>
      <xdr:colOff>217439</xdr:colOff>
      <xdr:row>0</xdr:row>
      <xdr:rowOff>35719</xdr:rowOff>
    </xdr:from>
    <xdr:to>
      <xdr:col>18</xdr:col>
      <xdr:colOff>690562</xdr:colOff>
      <xdr:row>37</xdr:row>
      <xdr:rowOff>38648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0701F4F-1536-4B54-BBAC-2706924F4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>
          <a:off x="11626552" y="2795044"/>
          <a:ext cx="6825210" cy="1306560"/>
        </a:xfrm>
        <a:prstGeom prst="rect">
          <a:avLst/>
        </a:prstGeom>
      </xdr:spPr>
    </xdr:pic>
    <xdr:clientData/>
  </xdr:twoCellAnchor>
  <xdr:twoCellAnchor>
    <xdr:from>
      <xdr:col>4</xdr:col>
      <xdr:colOff>166685</xdr:colOff>
      <xdr:row>24</xdr:row>
      <xdr:rowOff>141792</xdr:rowOff>
    </xdr:from>
    <xdr:to>
      <xdr:col>5</xdr:col>
      <xdr:colOff>809623</xdr:colOff>
      <xdr:row>29</xdr:row>
      <xdr:rowOff>26552</xdr:rowOff>
    </xdr:to>
    <xdr:grpSp>
      <xdr:nvGrpSpPr>
        <xdr:cNvPr id="44" name="Grupo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8F05E4F-5246-412B-8890-B87C580E4B4E}"/>
            </a:ext>
          </a:extLst>
        </xdr:cNvPr>
        <xdr:cNvGrpSpPr/>
      </xdr:nvGrpSpPr>
      <xdr:grpSpPr>
        <a:xfrm>
          <a:off x="3500435" y="4642355"/>
          <a:ext cx="1476376" cy="777728"/>
          <a:chOff x="2976562" y="4428042"/>
          <a:chExt cx="1476376" cy="777729"/>
        </a:xfrm>
      </xdr:grpSpPr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0F73B089-919B-45FB-A250-27AEE21A28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88366" y="4428042"/>
            <a:ext cx="1297510" cy="777729"/>
          </a:xfrm>
          <a:prstGeom prst="rect">
            <a:avLst/>
          </a:prstGeom>
        </xdr:spPr>
      </xdr:pic>
      <xdr:sp macro="" textlink="">
        <xdr:nvSpPr>
          <xdr:cNvPr id="42" name="CuadroTexto 41">
            <a:extLst>
              <a:ext uri="{FF2B5EF4-FFF2-40B4-BE49-F238E27FC236}">
                <a16:creationId xmlns:a16="http://schemas.microsoft.com/office/drawing/2014/main" id="{9A3FD224-B1CF-4666-80DF-1F5EC118C5EA}"/>
              </a:ext>
            </a:extLst>
          </xdr:cNvPr>
          <xdr:cNvSpPr txBox="1"/>
        </xdr:nvSpPr>
        <xdr:spPr>
          <a:xfrm>
            <a:off x="2976562" y="4441033"/>
            <a:ext cx="1476376" cy="5595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MX" sz="1100" u="none">
                <a:solidFill>
                  <a:schemeClr val="bg1"/>
                </a:solidFill>
                <a:latin typeface="Komika Axis" panose="02000506000000020004" pitchFamily="2" charset="0"/>
              </a:rPr>
              <a:t>2. ANÁLISIS</a:t>
            </a:r>
            <a:r>
              <a:rPr lang="es-MX" sz="1100" u="none" baseline="0">
                <a:solidFill>
                  <a:schemeClr val="bg1"/>
                </a:solidFill>
                <a:latin typeface="Komika Axis" panose="02000506000000020004" pitchFamily="2" charset="0"/>
              </a:rPr>
              <a:t> 10Q</a:t>
            </a:r>
            <a:endParaRPr lang="es-MX" sz="1100" u="none">
              <a:solidFill>
                <a:schemeClr val="bg1"/>
              </a:solidFill>
              <a:latin typeface="Komika Axis" panose="02000506000000020004" pitchFamily="2" charset="0"/>
            </a:endParaRPr>
          </a:p>
        </xdr:txBody>
      </xdr:sp>
    </xdr:grpSp>
    <xdr:clientData/>
  </xdr:twoCellAnchor>
  <xdr:twoCellAnchor>
    <xdr:from>
      <xdr:col>9</xdr:col>
      <xdr:colOff>83345</xdr:colOff>
      <xdr:row>18</xdr:row>
      <xdr:rowOff>42200</xdr:rowOff>
    </xdr:from>
    <xdr:to>
      <xdr:col>11</xdr:col>
      <xdr:colOff>71439</xdr:colOff>
      <xdr:row>22</xdr:row>
      <xdr:rowOff>21241</xdr:rowOff>
    </xdr:to>
    <xdr:grpSp>
      <xdr:nvGrpSpPr>
        <xdr:cNvPr id="54" name="Grupo 53">
          <a:extLst>
            <a:ext uri="{FF2B5EF4-FFF2-40B4-BE49-F238E27FC236}">
              <a16:creationId xmlns:a16="http://schemas.microsoft.com/office/drawing/2014/main" id="{F3184229-255E-4FFB-ABDC-79038A591351}"/>
            </a:ext>
          </a:extLst>
        </xdr:cNvPr>
        <xdr:cNvGrpSpPr/>
      </xdr:nvGrpSpPr>
      <xdr:grpSpPr>
        <a:xfrm>
          <a:off x="7584283" y="3471200"/>
          <a:ext cx="1654969" cy="693416"/>
          <a:chOff x="7584283" y="3256888"/>
          <a:chExt cx="1654969" cy="693416"/>
        </a:xfrm>
      </xdr:grpSpPr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D801F2A5-55D8-4F19-BF47-7517C0E7FB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30915" y="3256888"/>
            <a:ext cx="1350064" cy="693416"/>
          </a:xfrm>
          <a:prstGeom prst="rect">
            <a:avLst/>
          </a:prstGeom>
        </xdr:spPr>
      </xdr:pic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475FCDB1-BED2-4FDF-948E-F58B96F3D292}"/>
              </a:ext>
            </a:extLst>
          </xdr:cNvPr>
          <xdr:cNvSpPr txBox="1"/>
        </xdr:nvSpPr>
        <xdr:spPr>
          <a:xfrm>
            <a:off x="7584283" y="3309937"/>
            <a:ext cx="1654969" cy="5000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MX" sz="1100" u="none">
                <a:solidFill>
                  <a:schemeClr val="bg1"/>
                </a:solidFill>
                <a:latin typeface="Komika Axis" panose="02000506000000020004" pitchFamily="2" charset="0"/>
              </a:rPr>
              <a:t>1. PRICE/ EARNINGS</a:t>
            </a:r>
          </a:p>
        </xdr:txBody>
      </xdr:sp>
    </xdr:grpSp>
    <xdr:clientData/>
  </xdr:twoCellAnchor>
  <xdr:twoCellAnchor>
    <xdr:from>
      <xdr:col>12</xdr:col>
      <xdr:colOff>300509</xdr:colOff>
      <xdr:row>17</xdr:row>
      <xdr:rowOff>107156</xdr:rowOff>
    </xdr:from>
    <xdr:to>
      <xdr:col>14</xdr:col>
      <xdr:colOff>83343</xdr:colOff>
      <xdr:row>21</xdr:row>
      <xdr:rowOff>157355</xdr:rowOff>
    </xdr:to>
    <xdr:grpSp>
      <xdr:nvGrpSpPr>
        <xdr:cNvPr id="55" name="Grupo 54">
          <a:extLst>
            <a:ext uri="{FF2B5EF4-FFF2-40B4-BE49-F238E27FC236}">
              <a16:creationId xmlns:a16="http://schemas.microsoft.com/office/drawing/2014/main" id="{D94BE633-A7E6-4A68-BE18-1E940B61A3A8}"/>
            </a:ext>
          </a:extLst>
        </xdr:cNvPr>
        <xdr:cNvGrpSpPr/>
      </xdr:nvGrpSpPr>
      <xdr:grpSpPr>
        <a:xfrm>
          <a:off x="10301759" y="3357562"/>
          <a:ext cx="1449709" cy="764574"/>
          <a:chOff x="10301759" y="3143250"/>
          <a:chExt cx="1449709" cy="764574"/>
        </a:xfrm>
      </xdr:grpSpPr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4856DC95-2429-4733-A941-7B319D1BC4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01759" y="3220758"/>
            <a:ext cx="1347504" cy="687066"/>
          </a:xfrm>
          <a:prstGeom prst="rect">
            <a:avLst/>
          </a:prstGeom>
        </xdr:spPr>
      </xdr:pic>
      <xdr:sp macro="" textlink="">
        <xdr:nvSpPr>
          <xdr:cNvPr id="49" name="CuadroTexto 48">
            <a:extLst>
              <a:ext uri="{FF2B5EF4-FFF2-40B4-BE49-F238E27FC236}">
                <a16:creationId xmlns:a16="http://schemas.microsoft.com/office/drawing/2014/main" id="{05A3CB11-9B12-4225-A68A-095FB53C0549}"/>
              </a:ext>
            </a:extLst>
          </xdr:cNvPr>
          <xdr:cNvSpPr txBox="1"/>
        </xdr:nvSpPr>
        <xdr:spPr>
          <a:xfrm>
            <a:off x="10477500" y="3143250"/>
            <a:ext cx="1273968" cy="714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MX" sz="1100" u="none">
                <a:solidFill>
                  <a:schemeClr val="bg1"/>
                </a:solidFill>
                <a:latin typeface="Komika Axis" panose="02000506000000020004" pitchFamily="2" charset="0"/>
              </a:rPr>
              <a:t>2. EARNINGS PER</a:t>
            </a:r>
            <a:r>
              <a:rPr lang="es-MX" sz="1100" u="none" baseline="0">
                <a:solidFill>
                  <a:schemeClr val="bg1"/>
                </a:solidFill>
                <a:latin typeface="Komika Axis" panose="02000506000000020004" pitchFamily="2" charset="0"/>
              </a:rPr>
              <a:t> </a:t>
            </a:r>
            <a:r>
              <a:rPr lang="es-MX" sz="1100" u="none">
                <a:solidFill>
                  <a:schemeClr val="bg1"/>
                </a:solidFill>
                <a:latin typeface="Komika Axis" panose="02000506000000020004" pitchFamily="2" charset="0"/>
              </a:rPr>
              <a:t>SHARE</a:t>
            </a:r>
          </a:p>
        </xdr:txBody>
      </xdr:sp>
    </xdr:grpSp>
    <xdr:clientData/>
  </xdr:twoCellAnchor>
  <xdr:twoCellAnchor>
    <xdr:from>
      <xdr:col>10</xdr:col>
      <xdr:colOff>553381</xdr:colOff>
      <xdr:row>24</xdr:row>
      <xdr:rowOff>44860</xdr:rowOff>
    </xdr:from>
    <xdr:to>
      <xdr:col>12</xdr:col>
      <xdr:colOff>309561</xdr:colOff>
      <xdr:row>27</xdr:row>
      <xdr:rowOff>172086</xdr:rowOff>
    </xdr:to>
    <xdr:grpSp>
      <xdr:nvGrpSpPr>
        <xdr:cNvPr id="56" name="Grupo 55">
          <a:extLst>
            <a:ext uri="{FF2B5EF4-FFF2-40B4-BE49-F238E27FC236}">
              <a16:creationId xmlns:a16="http://schemas.microsoft.com/office/drawing/2014/main" id="{6F6FA537-2917-4A6B-9042-F5500CD25E60}"/>
            </a:ext>
          </a:extLst>
        </xdr:cNvPr>
        <xdr:cNvGrpSpPr/>
      </xdr:nvGrpSpPr>
      <xdr:grpSpPr>
        <a:xfrm>
          <a:off x="8887756" y="4545423"/>
          <a:ext cx="1423055" cy="663007"/>
          <a:chOff x="8887756" y="4331110"/>
          <a:chExt cx="1423055" cy="663007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399BBFE1-75DC-4AAF-8C6D-86E7673C38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87756" y="4331110"/>
            <a:ext cx="1303993" cy="663007"/>
          </a:xfrm>
          <a:prstGeom prst="rect">
            <a:avLst/>
          </a:prstGeom>
        </xdr:spPr>
      </xdr:pic>
      <xdr:sp macro="" textlink="">
        <xdr:nvSpPr>
          <xdr:cNvPr id="50" name="CuadroTexto 49">
            <a:extLst>
              <a:ext uri="{FF2B5EF4-FFF2-40B4-BE49-F238E27FC236}">
                <a16:creationId xmlns:a16="http://schemas.microsoft.com/office/drawing/2014/main" id="{B9C76F01-59D9-4DFD-8BCE-DE0F5C0C3120}"/>
              </a:ext>
            </a:extLst>
          </xdr:cNvPr>
          <xdr:cNvSpPr txBox="1"/>
        </xdr:nvSpPr>
        <xdr:spPr>
          <a:xfrm>
            <a:off x="9036843" y="4369594"/>
            <a:ext cx="1273968" cy="5000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MX" sz="1100" u="none">
                <a:solidFill>
                  <a:schemeClr val="bg1"/>
                </a:solidFill>
                <a:latin typeface="Komika Axis" panose="02000506000000020004" pitchFamily="2" charset="0"/>
              </a:rPr>
              <a:t>3. PE 5</a:t>
            </a:r>
            <a:r>
              <a:rPr lang="es-MX" sz="1100" u="none" baseline="0">
                <a:solidFill>
                  <a:schemeClr val="bg1"/>
                </a:solidFill>
                <a:latin typeface="Komika Axis" panose="02000506000000020004" pitchFamily="2" charset="0"/>
              </a:rPr>
              <a:t> AÑOS</a:t>
            </a:r>
            <a:endParaRPr lang="es-MX" sz="1100" u="none">
              <a:solidFill>
                <a:schemeClr val="bg1"/>
              </a:solidFill>
              <a:latin typeface="Komika Axis" panose="02000506000000020004" pitchFamily="2" charset="0"/>
            </a:endParaRPr>
          </a:p>
        </xdr:txBody>
      </xdr:sp>
    </xdr:grpSp>
    <xdr:clientData/>
  </xdr:twoCellAnchor>
  <xdr:twoCellAnchor>
    <xdr:from>
      <xdr:col>13</xdr:col>
      <xdr:colOff>726176</xdr:colOff>
      <xdr:row>23</xdr:row>
      <xdr:rowOff>83342</xdr:rowOff>
    </xdr:from>
    <xdr:to>
      <xdr:col>15</xdr:col>
      <xdr:colOff>416717</xdr:colOff>
      <xdr:row>28</xdr:row>
      <xdr:rowOff>14644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9E43290C-4609-428D-85C3-4FCE765E9080}"/>
            </a:ext>
          </a:extLst>
        </xdr:cNvPr>
        <xdr:cNvGrpSpPr/>
      </xdr:nvGrpSpPr>
      <xdr:grpSpPr>
        <a:xfrm>
          <a:off x="11560864" y="4405311"/>
          <a:ext cx="1357416" cy="824271"/>
          <a:chOff x="11560864" y="4190998"/>
          <a:chExt cx="1357416" cy="824271"/>
        </a:xfrm>
      </xdr:grpSpPr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DD6E60B7-E8D8-4A8A-B510-FF323C4015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60864" y="4237540"/>
            <a:ext cx="1297510" cy="777729"/>
          </a:xfrm>
          <a:prstGeom prst="rect">
            <a:avLst/>
          </a:prstGeom>
        </xdr:spPr>
      </xdr:pic>
      <xdr:sp macro="" textlink="">
        <xdr:nvSpPr>
          <xdr:cNvPr id="51" name="CuadroTexto 50">
            <a:extLst>
              <a:ext uri="{FF2B5EF4-FFF2-40B4-BE49-F238E27FC236}">
                <a16:creationId xmlns:a16="http://schemas.microsoft.com/office/drawing/2014/main" id="{C52870F5-7C59-4451-8D51-2E19E8C55D50}"/>
              </a:ext>
            </a:extLst>
          </xdr:cNvPr>
          <xdr:cNvSpPr txBox="1"/>
        </xdr:nvSpPr>
        <xdr:spPr>
          <a:xfrm>
            <a:off x="11644312" y="4190998"/>
            <a:ext cx="1273968" cy="678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MX" sz="1100" u="none">
                <a:solidFill>
                  <a:schemeClr val="bg1"/>
                </a:solidFill>
                <a:latin typeface="Komika Axis" panose="02000506000000020004" pitchFamily="2" charset="0"/>
              </a:rPr>
              <a:t>4. PE 5YR VS. PE ACTUAL</a:t>
            </a:r>
          </a:p>
        </xdr:txBody>
      </xdr:sp>
    </xdr:grpSp>
    <xdr:clientData/>
  </xdr:twoCellAnchor>
  <xdr:twoCellAnchor>
    <xdr:from>
      <xdr:col>11</xdr:col>
      <xdr:colOff>503807</xdr:colOff>
      <xdr:row>30</xdr:row>
      <xdr:rowOff>83341</xdr:rowOff>
    </xdr:from>
    <xdr:to>
      <xdr:col>13</xdr:col>
      <xdr:colOff>535779</xdr:colOff>
      <xdr:row>35</xdr:row>
      <xdr:rowOff>107155</xdr:rowOff>
    </xdr:to>
    <xdr:grpSp>
      <xdr:nvGrpSpPr>
        <xdr:cNvPr id="58" name="Grupo 57">
          <a:extLst>
            <a:ext uri="{FF2B5EF4-FFF2-40B4-BE49-F238E27FC236}">
              <a16:creationId xmlns:a16="http://schemas.microsoft.com/office/drawing/2014/main" id="{6E2E31F0-4FDE-49AE-9330-C604BDE12F20}"/>
            </a:ext>
          </a:extLst>
        </xdr:cNvPr>
        <xdr:cNvGrpSpPr/>
      </xdr:nvGrpSpPr>
      <xdr:grpSpPr>
        <a:xfrm>
          <a:off x="9671620" y="5655466"/>
          <a:ext cx="1698847" cy="916783"/>
          <a:chOff x="9671620" y="5441154"/>
          <a:chExt cx="1698847" cy="916782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F0B72E2E-14E1-4B84-B5EF-08F485C3DD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71620" y="5441154"/>
            <a:ext cx="1698847" cy="916782"/>
          </a:xfrm>
          <a:prstGeom prst="rect">
            <a:avLst/>
          </a:prstGeom>
        </xdr:spPr>
      </xdr:pic>
      <xdr:sp macro="" textlink="">
        <xdr:nvSpPr>
          <xdr:cNvPr id="52" name="CuadroTexto 51">
            <a:extLst>
              <a:ext uri="{FF2B5EF4-FFF2-40B4-BE49-F238E27FC236}">
                <a16:creationId xmlns:a16="http://schemas.microsoft.com/office/drawing/2014/main" id="{DCCB4512-14DB-4D82-A8E6-111C322A4F40}"/>
              </a:ext>
            </a:extLst>
          </xdr:cNvPr>
          <xdr:cNvSpPr txBox="1"/>
        </xdr:nvSpPr>
        <xdr:spPr>
          <a:xfrm>
            <a:off x="9977434" y="5512595"/>
            <a:ext cx="1273968" cy="6072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MX" sz="1100" u="none">
                <a:solidFill>
                  <a:schemeClr val="bg1"/>
                </a:solidFill>
                <a:latin typeface="Komika Axis" panose="02000506000000020004" pitchFamily="2" charset="0"/>
              </a:rPr>
              <a:t>5. MARGEN DE SEGURIDAD</a:t>
            </a:r>
          </a:p>
        </xdr:txBody>
      </xdr:sp>
    </xdr:grpSp>
    <xdr:clientData/>
  </xdr:twoCellAnchor>
  <xdr:twoCellAnchor>
    <xdr:from>
      <xdr:col>15</xdr:col>
      <xdr:colOff>214211</xdr:colOff>
      <xdr:row>29</xdr:row>
      <xdr:rowOff>59530</xdr:rowOff>
    </xdr:from>
    <xdr:to>
      <xdr:col>17</xdr:col>
      <xdr:colOff>154777</xdr:colOff>
      <xdr:row>33</xdr:row>
      <xdr:rowOff>154780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1A05ED0F-61F9-4C0A-B9BF-D9127E1E4C61}"/>
            </a:ext>
          </a:extLst>
        </xdr:cNvPr>
        <xdr:cNvGrpSpPr/>
      </xdr:nvGrpSpPr>
      <xdr:grpSpPr>
        <a:xfrm>
          <a:off x="12715774" y="5453061"/>
          <a:ext cx="1607441" cy="809625"/>
          <a:chOff x="12715774" y="5238749"/>
          <a:chExt cx="1607441" cy="809625"/>
        </a:xfrm>
      </xdr:grpSpPr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E4677AD6-1D36-43AB-ADD6-22DCE7DC10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715774" y="5381262"/>
            <a:ext cx="1536005" cy="566936"/>
          </a:xfrm>
          <a:prstGeom prst="rect">
            <a:avLst/>
          </a:prstGeom>
        </xdr:spPr>
      </xdr:pic>
      <xdr:sp macro="" textlink="">
        <xdr:nvSpPr>
          <xdr:cNvPr id="53" name="CuadroTexto 52">
            <a:extLst>
              <a:ext uri="{FF2B5EF4-FFF2-40B4-BE49-F238E27FC236}">
                <a16:creationId xmlns:a16="http://schemas.microsoft.com/office/drawing/2014/main" id="{D00B1279-55F9-4CF4-B3B1-066875B156DC}"/>
              </a:ext>
            </a:extLst>
          </xdr:cNvPr>
          <xdr:cNvSpPr txBox="1"/>
        </xdr:nvSpPr>
        <xdr:spPr>
          <a:xfrm>
            <a:off x="13049247" y="5238749"/>
            <a:ext cx="1273968" cy="809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MX" sz="1100" u="none">
                <a:solidFill>
                  <a:schemeClr val="bg1"/>
                </a:solidFill>
                <a:latin typeface="Komika Axis" panose="02000506000000020004" pitchFamily="2" charset="0"/>
              </a:rPr>
              <a:t>6. VALOR EMPRESA CRECIMIENTO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25287</xdr:colOff>
      <xdr:row>2</xdr:row>
      <xdr:rowOff>16859</xdr:rowOff>
    </xdr:from>
    <xdr:to>
      <xdr:col>3</xdr:col>
      <xdr:colOff>669456</xdr:colOff>
      <xdr:row>2</xdr:row>
      <xdr:rowOff>193643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735F32D-5D99-4E4A-ADC7-531551A6A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7" y="1121085"/>
          <a:ext cx="1411227" cy="176784"/>
        </a:xfrm>
        <a:prstGeom prst="rect">
          <a:avLst/>
        </a:prstGeom>
      </xdr:spPr>
    </xdr:pic>
    <xdr:clientData/>
  </xdr:twoCellAnchor>
  <xdr:twoCellAnchor editAs="oneCell">
    <xdr:from>
      <xdr:col>0</xdr:col>
      <xdr:colOff>25287</xdr:colOff>
      <xdr:row>33</xdr:row>
      <xdr:rowOff>33716</xdr:rowOff>
    </xdr:from>
    <xdr:to>
      <xdr:col>3</xdr:col>
      <xdr:colOff>669456</xdr:colOff>
      <xdr:row>33</xdr:row>
      <xdr:rowOff>210500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4DE41A-5B1F-48E6-BB2E-C34EE2DDB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7" y="3809999"/>
          <a:ext cx="1411227" cy="176784"/>
        </a:xfrm>
        <a:prstGeom prst="rect">
          <a:avLst/>
        </a:prstGeom>
      </xdr:spPr>
    </xdr:pic>
    <xdr:clientData/>
  </xdr:twoCellAnchor>
  <xdr:twoCellAnchor editAs="oneCell">
    <xdr:from>
      <xdr:col>0</xdr:col>
      <xdr:colOff>25287</xdr:colOff>
      <xdr:row>45</xdr:row>
      <xdr:rowOff>33714</xdr:rowOff>
    </xdr:from>
    <xdr:to>
      <xdr:col>3</xdr:col>
      <xdr:colOff>669456</xdr:colOff>
      <xdr:row>45</xdr:row>
      <xdr:rowOff>210498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52FC38E-A48C-48AC-8087-7DB6D87B2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7" y="10342630"/>
          <a:ext cx="1411227" cy="176784"/>
        </a:xfrm>
        <a:prstGeom prst="rect">
          <a:avLst/>
        </a:prstGeom>
      </xdr:spPr>
    </xdr:pic>
    <xdr:clientData/>
  </xdr:twoCellAnchor>
  <xdr:twoCellAnchor>
    <xdr:from>
      <xdr:col>5</xdr:col>
      <xdr:colOff>42146</xdr:colOff>
      <xdr:row>3</xdr:row>
      <xdr:rowOff>244448</xdr:rowOff>
    </xdr:from>
    <xdr:to>
      <xdr:col>15</xdr:col>
      <xdr:colOff>269733</xdr:colOff>
      <xdr:row>7</xdr:row>
      <xdr:rowOff>193873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643BB7C8-C51B-45DA-814A-DE1B6258973D}"/>
            </a:ext>
          </a:extLst>
        </xdr:cNvPr>
        <xdr:cNvSpPr/>
      </xdr:nvSpPr>
      <xdr:spPr>
        <a:xfrm>
          <a:off x="2461327" y="1407678"/>
          <a:ext cx="8488207" cy="994646"/>
        </a:xfrm>
        <a:prstGeom prst="roundRect">
          <a:avLst/>
        </a:prstGeom>
        <a:solidFill>
          <a:schemeClr val="bg1"/>
        </a:solidFill>
        <a:ln>
          <a:solidFill>
            <a:srgbClr val="651E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000">
              <a:solidFill>
                <a:schemeClr val="tx1"/>
              </a:solidFill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¿CÓMO GENERA DINERO ESTE NEGOCIO? DESCRIBE EL NEGOCIO</a:t>
          </a:r>
        </a:p>
      </xdr:txBody>
    </xdr:sp>
    <xdr:clientData/>
  </xdr:twoCellAnchor>
  <xdr:twoCellAnchor>
    <xdr:from>
      <xdr:col>5</xdr:col>
      <xdr:colOff>50576</xdr:colOff>
      <xdr:row>8</xdr:row>
      <xdr:rowOff>236019</xdr:rowOff>
    </xdr:from>
    <xdr:to>
      <xdr:col>15</xdr:col>
      <xdr:colOff>278163</xdr:colOff>
      <xdr:row>12</xdr:row>
      <xdr:rowOff>185444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C39A3CEC-2889-48A7-A3BE-35EB53E08E3F}"/>
            </a:ext>
          </a:extLst>
        </xdr:cNvPr>
        <xdr:cNvSpPr/>
      </xdr:nvSpPr>
      <xdr:spPr>
        <a:xfrm>
          <a:off x="2469757" y="2705776"/>
          <a:ext cx="8488207" cy="994646"/>
        </a:xfrm>
        <a:prstGeom prst="roundRect">
          <a:avLst/>
        </a:prstGeom>
        <a:solidFill>
          <a:schemeClr val="bg1"/>
        </a:solidFill>
        <a:ln>
          <a:solidFill>
            <a:srgbClr val="651E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000">
              <a:solidFill>
                <a:schemeClr val="tx1"/>
              </a:solidFill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¿QUÉ RIESGOS</a:t>
          </a:r>
          <a:r>
            <a:rPr lang="es-MX" sz="1000" baseline="0">
              <a:solidFill>
                <a:schemeClr val="tx1"/>
              </a:solidFill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 LE PUEDEN AFECTAR A LA EMPRESA?</a:t>
          </a:r>
          <a:endParaRPr lang="es-MX" sz="1000">
            <a:solidFill>
              <a:schemeClr val="tx1"/>
            </a:solidFill>
            <a:latin typeface="Open Sans Condensed" panose="020B0806030504020204" pitchFamily="34" charset="0"/>
            <a:ea typeface="Open Sans Condensed" panose="020B0806030504020204" pitchFamily="34" charset="0"/>
            <a:cs typeface="Open Sans Condensed" panose="020B0806030504020204" pitchFamily="34" charset="0"/>
          </a:endParaRPr>
        </a:p>
      </xdr:txBody>
    </xdr:sp>
    <xdr:clientData/>
  </xdr:twoCellAnchor>
  <xdr:twoCellAnchor>
    <xdr:from>
      <xdr:col>5</xdr:col>
      <xdr:colOff>50576</xdr:colOff>
      <xdr:row>13</xdr:row>
      <xdr:rowOff>252878</xdr:rowOff>
    </xdr:from>
    <xdr:to>
      <xdr:col>15</xdr:col>
      <xdr:colOff>278163</xdr:colOff>
      <xdr:row>17</xdr:row>
      <xdr:rowOff>202303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20047D73-C200-4BA9-B2C2-A8E049EB6AD8}"/>
            </a:ext>
          </a:extLst>
        </xdr:cNvPr>
        <xdr:cNvSpPr/>
      </xdr:nvSpPr>
      <xdr:spPr>
        <a:xfrm>
          <a:off x="2469757" y="4349471"/>
          <a:ext cx="8488207" cy="994646"/>
        </a:xfrm>
        <a:prstGeom prst="roundRect">
          <a:avLst/>
        </a:prstGeom>
        <a:solidFill>
          <a:schemeClr val="bg1"/>
        </a:solidFill>
        <a:ln>
          <a:solidFill>
            <a:srgbClr val="651E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000">
              <a:solidFill>
                <a:schemeClr val="tx1"/>
              </a:solidFill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¿LA EMPRESA TIENE DEMANDAS O ALGÚN</a:t>
          </a:r>
          <a:r>
            <a:rPr lang="es-MX" sz="1000" baseline="0">
              <a:solidFill>
                <a:schemeClr val="tx1"/>
              </a:solidFill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 PROBLEMA LEGAL?</a:t>
          </a:r>
          <a:endParaRPr lang="es-MX" sz="1000">
            <a:solidFill>
              <a:schemeClr val="tx1"/>
            </a:solidFill>
            <a:latin typeface="Open Sans Condensed" panose="020B0806030504020204" pitchFamily="34" charset="0"/>
            <a:ea typeface="Open Sans Condensed" panose="020B0806030504020204" pitchFamily="34" charset="0"/>
            <a:cs typeface="Open Sans Condensed" panose="020B0806030504020204" pitchFamily="34" charset="0"/>
          </a:endParaRPr>
        </a:p>
      </xdr:txBody>
    </xdr:sp>
    <xdr:clientData/>
  </xdr:twoCellAnchor>
  <xdr:twoCellAnchor editAs="oneCell">
    <xdr:from>
      <xdr:col>5</xdr:col>
      <xdr:colOff>539464</xdr:colOff>
      <xdr:row>19</xdr:row>
      <xdr:rowOff>16859</xdr:rowOff>
    </xdr:from>
    <xdr:to>
      <xdr:col>5</xdr:col>
      <xdr:colOff>783911</xdr:colOff>
      <xdr:row>20</xdr:row>
      <xdr:rowOff>735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7B3A696-CDFB-4D84-ACB9-FC32A241C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645" y="5360974"/>
          <a:ext cx="244447" cy="245181"/>
        </a:xfrm>
        <a:prstGeom prst="rect">
          <a:avLst/>
        </a:prstGeom>
      </xdr:spPr>
    </xdr:pic>
    <xdr:clientData/>
  </xdr:twoCellAnchor>
  <xdr:twoCellAnchor editAs="oneCell">
    <xdr:from>
      <xdr:col>5</xdr:col>
      <xdr:colOff>539464</xdr:colOff>
      <xdr:row>20</xdr:row>
      <xdr:rowOff>25288</xdr:rowOff>
    </xdr:from>
    <xdr:to>
      <xdr:col>5</xdr:col>
      <xdr:colOff>783911</xdr:colOff>
      <xdr:row>21</xdr:row>
      <xdr:rowOff>9163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0DB7FAF-6146-4AF6-8531-4228283A1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645" y="5630708"/>
          <a:ext cx="244447" cy="245181"/>
        </a:xfrm>
        <a:prstGeom prst="rect">
          <a:avLst/>
        </a:prstGeom>
      </xdr:spPr>
    </xdr:pic>
    <xdr:clientData/>
  </xdr:twoCellAnchor>
  <xdr:twoCellAnchor>
    <xdr:from>
      <xdr:col>5</xdr:col>
      <xdr:colOff>50576</xdr:colOff>
      <xdr:row>28</xdr:row>
      <xdr:rowOff>16860</xdr:rowOff>
    </xdr:from>
    <xdr:to>
      <xdr:col>15</xdr:col>
      <xdr:colOff>278163</xdr:colOff>
      <xdr:row>31</xdr:row>
      <xdr:rowOff>227590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68906CAD-09F5-4D81-8DA7-2A31ACE4EEB4}"/>
            </a:ext>
          </a:extLst>
        </xdr:cNvPr>
        <xdr:cNvSpPr/>
      </xdr:nvSpPr>
      <xdr:spPr>
        <a:xfrm>
          <a:off x="2469757" y="6928807"/>
          <a:ext cx="8488207" cy="994646"/>
        </a:xfrm>
        <a:prstGeom prst="roundRect">
          <a:avLst/>
        </a:prstGeom>
        <a:solidFill>
          <a:schemeClr val="bg1"/>
        </a:solidFill>
        <a:ln>
          <a:solidFill>
            <a:srgbClr val="651E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000" b="0" i="0">
              <a:solidFill>
                <a:schemeClr val="tx1"/>
              </a:solidFill>
              <a:effectLst/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¿CÓMO</a:t>
          </a:r>
          <a:r>
            <a:rPr lang="es-MX" sz="1000" b="0" i="0" baseline="0">
              <a:solidFill>
                <a:schemeClr val="tx1"/>
              </a:solidFill>
              <a:effectLst/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 SE DESEMPEÑÓ LA EMPRESA EL PERIODO ANTERIOR</a:t>
          </a:r>
          <a:r>
            <a:rPr lang="es-MX" sz="1000" b="0" i="0">
              <a:solidFill>
                <a:schemeClr val="tx1"/>
              </a:solidFill>
              <a:effectLst/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?, ¿CUÁL ES SU SITUACIÓN FINANCIERA ACTUAL?, ¿CUÁLES SON LAS PROYECCIONES FUTURAS DE LA ADMINISTRACIÓN?</a:t>
          </a:r>
        </a:p>
      </xdr:txBody>
    </xdr:sp>
    <xdr:clientData/>
  </xdr:twoCellAnchor>
  <xdr:twoCellAnchor editAs="oneCell">
    <xdr:from>
      <xdr:col>5</xdr:col>
      <xdr:colOff>539464</xdr:colOff>
      <xdr:row>23</xdr:row>
      <xdr:rowOff>8430</xdr:rowOff>
    </xdr:from>
    <xdr:to>
      <xdr:col>5</xdr:col>
      <xdr:colOff>783911</xdr:colOff>
      <xdr:row>23</xdr:row>
      <xdr:rowOff>253611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DB459CB-DD53-4283-A662-6E18D18B2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645" y="6979381"/>
          <a:ext cx="244447" cy="245181"/>
        </a:xfrm>
        <a:prstGeom prst="rect">
          <a:avLst/>
        </a:prstGeom>
      </xdr:spPr>
    </xdr:pic>
    <xdr:clientData/>
  </xdr:twoCellAnchor>
  <xdr:oneCellAnchor>
    <xdr:from>
      <xdr:col>5</xdr:col>
      <xdr:colOff>539464</xdr:colOff>
      <xdr:row>35</xdr:row>
      <xdr:rowOff>16859</xdr:rowOff>
    </xdr:from>
    <xdr:ext cx="244447" cy="245181"/>
    <xdr:pic>
      <xdr:nvPicPr>
        <xdr:cNvPr id="19" name="Imagen 18">
          <a:extLst>
            <a:ext uri="{FF2B5EF4-FFF2-40B4-BE49-F238E27FC236}">
              <a16:creationId xmlns:a16="http://schemas.microsoft.com/office/drawing/2014/main" id="{89396DF8-82B5-402E-8D4A-6B5D672A4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645" y="5681284"/>
          <a:ext cx="244447" cy="245181"/>
        </a:xfrm>
        <a:prstGeom prst="rect">
          <a:avLst/>
        </a:prstGeom>
      </xdr:spPr>
    </xdr:pic>
    <xdr:clientData/>
  </xdr:oneCellAnchor>
  <xdr:oneCellAnchor>
    <xdr:from>
      <xdr:col>5</xdr:col>
      <xdr:colOff>539464</xdr:colOff>
      <xdr:row>36</xdr:row>
      <xdr:rowOff>25288</xdr:rowOff>
    </xdr:from>
    <xdr:ext cx="244447" cy="245181"/>
    <xdr:pic>
      <xdr:nvPicPr>
        <xdr:cNvPr id="20" name="Imagen 19">
          <a:extLst>
            <a:ext uri="{FF2B5EF4-FFF2-40B4-BE49-F238E27FC236}">
              <a16:creationId xmlns:a16="http://schemas.microsoft.com/office/drawing/2014/main" id="{401CCD36-D5BC-49E4-8E63-83599B12E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645" y="5951018"/>
          <a:ext cx="244447" cy="245181"/>
        </a:xfrm>
        <a:prstGeom prst="rect">
          <a:avLst/>
        </a:prstGeom>
      </xdr:spPr>
    </xdr:pic>
    <xdr:clientData/>
  </xdr:oneCellAnchor>
  <xdr:oneCellAnchor>
    <xdr:from>
      <xdr:col>5</xdr:col>
      <xdr:colOff>539464</xdr:colOff>
      <xdr:row>40</xdr:row>
      <xdr:rowOff>8430</xdr:rowOff>
    </xdr:from>
    <xdr:ext cx="244447" cy="245181"/>
    <xdr:pic>
      <xdr:nvPicPr>
        <xdr:cNvPr id="21" name="Imagen 20">
          <a:extLst>
            <a:ext uri="{FF2B5EF4-FFF2-40B4-BE49-F238E27FC236}">
              <a16:creationId xmlns:a16="http://schemas.microsoft.com/office/drawing/2014/main" id="{03A81429-334F-4329-8BBA-9D36280BB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645" y="6979381"/>
          <a:ext cx="244447" cy="245181"/>
        </a:xfrm>
        <a:prstGeom prst="rect">
          <a:avLst/>
        </a:prstGeom>
      </xdr:spPr>
    </xdr:pic>
    <xdr:clientData/>
  </xdr:oneCellAnchor>
  <xdr:twoCellAnchor>
    <xdr:from>
      <xdr:col>4</xdr:col>
      <xdr:colOff>800776</xdr:colOff>
      <xdr:row>47</xdr:row>
      <xdr:rowOff>25290</xdr:rowOff>
    </xdr:from>
    <xdr:to>
      <xdr:col>15</xdr:col>
      <xdr:colOff>202301</xdr:colOff>
      <xdr:row>50</xdr:row>
      <xdr:rowOff>236020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DCB11022-9CAE-478E-A07B-14F43B31191F}"/>
            </a:ext>
          </a:extLst>
        </xdr:cNvPr>
        <xdr:cNvSpPr/>
      </xdr:nvSpPr>
      <xdr:spPr>
        <a:xfrm>
          <a:off x="2393895" y="13267569"/>
          <a:ext cx="8488207" cy="994646"/>
        </a:xfrm>
        <a:prstGeom prst="roundRect">
          <a:avLst/>
        </a:prstGeom>
        <a:solidFill>
          <a:schemeClr val="bg1"/>
        </a:solidFill>
        <a:ln>
          <a:solidFill>
            <a:srgbClr val="651E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000" b="0" i="0">
              <a:solidFill>
                <a:schemeClr val="tx1"/>
              </a:solidFill>
              <a:effectLst/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¿CUÁLES FUERON LAS PREGUNTAS MÁS RELEVANTES</a:t>
          </a:r>
          <a:r>
            <a:rPr lang="es-MX" sz="1000" b="0" i="0" baseline="0">
              <a:solidFill>
                <a:schemeClr val="tx1"/>
              </a:solidFill>
              <a:effectLst/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 DE LA CONFERENCIA?</a:t>
          </a:r>
        </a:p>
      </xdr:txBody>
    </xdr:sp>
    <xdr:clientData/>
  </xdr:twoCellAnchor>
  <xdr:twoCellAnchor>
    <xdr:from>
      <xdr:col>4</xdr:col>
      <xdr:colOff>809205</xdr:colOff>
      <xdr:row>51</xdr:row>
      <xdr:rowOff>219162</xdr:rowOff>
    </xdr:from>
    <xdr:to>
      <xdr:col>15</xdr:col>
      <xdr:colOff>210730</xdr:colOff>
      <xdr:row>55</xdr:row>
      <xdr:rowOff>168587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DB047B12-4926-43FE-9F1D-0EFD8DB1DF17}"/>
            </a:ext>
          </a:extLst>
        </xdr:cNvPr>
        <xdr:cNvSpPr/>
      </xdr:nvSpPr>
      <xdr:spPr>
        <a:xfrm>
          <a:off x="2402324" y="14506662"/>
          <a:ext cx="8488207" cy="994646"/>
        </a:xfrm>
        <a:prstGeom prst="roundRect">
          <a:avLst/>
        </a:prstGeom>
        <a:solidFill>
          <a:schemeClr val="bg1"/>
        </a:solidFill>
        <a:ln>
          <a:solidFill>
            <a:srgbClr val="651E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000" b="0" i="0">
              <a:solidFill>
                <a:schemeClr val="tx1"/>
              </a:solidFill>
              <a:effectLst/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¿QUIÉN ESTÁ DIRIGIENDO LA EMPRESA</a:t>
          </a:r>
          <a:r>
            <a:rPr lang="es-MX" sz="1000" b="0" i="0" baseline="0">
              <a:solidFill>
                <a:schemeClr val="tx1"/>
              </a:solidFill>
              <a:effectLst/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?, ¿TIENE EXPERIENCIA EN LA INDUSTRIA/ ES EL FUNDADOR?, ¿TIENE ACCIONES EN LA EMPRESA? (https://www.sec.gov/edgar/searchedgar/companysearch.html)</a:t>
          </a:r>
        </a:p>
      </xdr:txBody>
    </xdr:sp>
    <xdr:clientData/>
  </xdr:twoCellAnchor>
  <xdr:twoCellAnchor>
    <xdr:from>
      <xdr:col>4</xdr:col>
      <xdr:colOff>817634</xdr:colOff>
      <xdr:row>56</xdr:row>
      <xdr:rowOff>219162</xdr:rowOff>
    </xdr:from>
    <xdr:to>
      <xdr:col>15</xdr:col>
      <xdr:colOff>219159</xdr:colOff>
      <xdr:row>60</xdr:row>
      <xdr:rowOff>168587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A2E2D64D-6733-4708-8F01-6C0F2D1F5EFD}"/>
            </a:ext>
          </a:extLst>
        </xdr:cNvPr>
        <xdr:cNvSpPr/>
      </xdr:nvSpPr>
      <xdr:spPr>
        <a:xfrm>
          <a:off x="2410753" y="15813189"/>
          <a:ext cx="8488207" cy="994646"/>
        </a:xfrm>
        <a:prstGeom prst="roundRect">
          <a:avLst/>
        </a:prstGeom>
        <a:solidFill>
          <a:schemeClr val="bg1"/>
        </a:solidFill>
        <a:ln>
          <a:solidFill>
            <a:srgbClr val="651E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000" b="0" i="0">
              <a:solidFill>
                <a:schemeClr val="tx1"/>
              </a:solidFill>
              <a:effectLst/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¿EN QUÉ SECTOR COMPITE</a:t>
          </a:r>
          <a:r>
            <a:rPr lang="es-MX" sz="1000" b="0" i="0" baseline="0">
              <a:solidFill>
                <a:schemeClr val="tx1"/>
              </a:solidFill>
              <a:effectLst/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?, ¿QUIÉNES SON SUS PRINCIPALES COMPETIDORES?</a:t>
          </a:r>
        </a:p>
      </xdr:txBody>
    </xdr:sp>
    <xdr:clientData/>
  </xdr:twoCellAnchor>
  <xdr:twoCellAnchor>
    <xdr:from>
      <xdr:col>5</xdr:col>
      <xdr:colOff>1</xdr:colOff>
      <xdr:row>61</xdr:row>
      <xdr:rowOff>219162</xdr:rowOff>
    </xdr:from>
    <xdr:to>
      <xdr:col>15</xdr:col>
      <xdr:colOff>227588</xdr:colOff>
      <xdr:row>65</xdr:row>
      <xdr:rowOff>168586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A395F5A9-9EBD-476D-A19C-2306A6C7E980}"/>
            </a:ext>
          </a:extLst>
        </xdr:cNvPr>
        <xdr:cNvSpPr/>
      </xdr:nvSpPr>
      <xdr:spPr>
        <a:xfrm>
          <a:off x="2419182" y="16799405"/>
          <a:ext cx="8488207" cy="994646"/>
        </a:xfrm>
        <a:prstGeom prst="roundRect">
          <a:avLst/>
        </a:prstGeom>
        <a:solidFill>
          <a:schemeClr val="bg1"/>
        </a:solidFill>
        <a:ln>
          <a:solidFill>
            <a:srgbClr val="651E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000" b="0" i="0">
              <a:solidFill>
                <a:schemeClr val="tx1"/>
              </a:solidFill>
              <a:effectLst/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ABRIR GOOGLE</a:t>
          </a:r>
          <a:r>
            <a:rPr lang="es-MX" sz="1000" b="0" i="0" baseline="0">
              <a:solidFill>
                <a:schemeClr val="tx1"/>
              </a:solidFill>
              <a:effectLst/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 EN LA SECCIÓN NOTICIAS Y ESCRIBIR EL NOMBRE DE LA EMPRESA</a:t>
          </a:r>
        </a:p>
      </xdr:txBody>
    </xdr:sp>
    <xdr:clientData/>
  </xdr:twoCellAnchor>
  <xdr:twoCellAnchor editAs="oneCell">
    <xdr:from>
      <xdr:col>0</xdr:col>
      <xdr:colOff>75863</xdr:colOff>
      <xdr:row>0</xdr:row>
      <xdr:rowOff>429891</xdr:rowOff>
    </xdr:from>
    <xdr:to>
      <xdr:col>2</xdr:col>
      <xdr:colOff>78048</xdr:colOff>
      <xdr:row>1</xdr:row>
      <xdr:rowOff>311882</xdr:rowOff>
    </xdr:to>
    <xdr:pic>
      <xdr:nvPicPr>
        <xdr:cNvPr id="32" name="Imagen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4B2967-57D2-429C-8921-4A476C855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63" y="429891"/>
          <a:ext cx="499508" cy="379314"/>
        </a:xfrm>
        <a:prstGeom prst="rect">
          <a:avLst/>
        </a:prstGeom>
      </xdr:spPr>
    </xdr:pic>
    <xdr:clientData/>
  </xdr:twoCellAnchor>
  <xdr:twoCellAnchor editAs="oneCell">
    <xdr:from>
      <xdr:col>0</xdr:col>
      <xdr:colOff>50575</xdr:colOff>
      <xdr:row>31</xdr:row>
      <xdr:rowOff>126439</xdr:rowOff>
    </xdr:from>
    <xdr:to>
      <xdr:col>2</xdr:col>
      <xdr:colOff>52760</xdr:colOff>
      <xdr:row>32</xdr:row>
      <xdr:rowOff>244448</xdr:rowOff>
    </xdr:to>
    <xdr:pic>
      <xdr:nvPicPr>
        <xdr:cNvPr id="33" name="Imagen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AEB381-8582-419C-9134-F11E79CDC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5" y="8867523"/>
          <a:ext cx="499508" cy="379314"/>
        </a:xfrm>
        <a:prstGeom prst="rect">
          <a:avLst/>
        </a:prstGeom>
      </xdr:spPr>
    </xdr:pic>
    <xdr:clientData/>
  </xdr:twoCellAnchor>
  <xdr:twoCellAnchor editAs="oneCell">
    <xdr:from>
      <xdr:col>0</xdr:col>
      <xdr:colOff>33717</xdr:colOff>
      <xdr:row>43</xdr:row>
      <xdr:rowOff>126438</xdr:rowOff>
    </xdr:from>
    <xdr:to>
      <xdr:col>2</xdr:col>
      <xdr:colOff>35902</xdr:colOff>
      <xdr:row>44</xdr:row>
      <xdr:rowOff>244446</xdr:rowOff>
    </xdr:to>
    <xdr:pic>
      <xdr:nvPicPr>
        <xdr:cNvPr id="34" name="Imagen 3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AB5B00-F560-4984-B9BC-9334B8A30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7" y="12003186"/>
          <a:ext cx="499508" cy="379314"/>
        </a:xfrm>
        <a:prstGeom prst="rect">
          <a:avLst/>
        </a:prstGeom>
      </xdr:spPr>
    </xdr:pic>
    <xdr:clientData/>
  </xdr:twoCellAnchor>
  <xdr:twoCellAnchor editAs="oneCell">
    <xdr:from>
      <xdr:col>0</xdr:col>
      <xdr:colOff>33717</xdr:colOff>
      <xdr:row>64</xdr:row>
      <xdr:rowOff>59006</xdr:rowOff>
    </xdr:from>
    <xdr:to>
      <xdr:col>2</xdr:col>
      <xdr:colOff>35902</xdr:colOff>
      <xdr:row>65</xdr:row>
      <xdr:rowOff>177015</xdr:rowOff>
    </xdr:to>
    <xdr:pic>
      <xdr:nvPicPr>
        <xdr:cNvPr id="35" name="Imagen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62BB02-C713-4208-9255-FDA11F20A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7" y="17423165"/>
          <a:ext cx="499508" cy="379314"/>
        </a:xfrm>
        <a:prstGeom prst="rect">
          <a:avLst/>
        </a:prstGeom>
      </xdr:spPr>
    </xdr:pic>
    <xdr:clientData/>
  </xdr:twoCellAnchor>
  <xdr:twoCellAnchor editAs="oneCell">
    <xdr:from>
      <xdr:col>4</xdr:col>
      <xdr:colOff>510337</xdr:colOff>
      <xdr:row>1</xdr:row>
      <xdr:rowOff>16858</xdr:rowOff>
    </xdr:from>
    <xdr:to>
      <xdr:col>4</xdr:col>
      <xdr:colOff>775055</xdr:colOff>
      <xdr:row>1</xdr:row>
      <xdr:rowOff>281297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C251FA6-66C4-411A-875A-19C392451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3456" y="514181"/>
          <a:ext cx="264718" cy="2644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457200</xdr:rowOff>
    </xdr:from>
    <xdr:ext cx="499508" cy="379314"/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FB6C13-2157-4414-AF8D-6F82E8A88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80975"/>
          <a:ext cx="499508" cy="379314"/>
        </a:xfrm>
        <a:prstGeom prst="rect">
          <a:avLst/>
        </a:prstGeom>
      </xdr:spPr>
    </xdr:pic>
    <xdr:clientData/>
  </xdr:oneCellAnchor>
  <xdr:twoCellAnchor editAs="oneCell">
    <xdr:from>
      <xdr:col>0</xdr:col>
      <xdr:colOff>1809750</xdr:colOff>
      <xdr:row>1</xdr:row>
      <xdr:rowOff>19050</xdr:rowOff>
    </xdr:from>
    <xdr:to>
      <xdr:col>0</xdr:col>
      <xdr:colOff>2074468</xdr:colOff>
      <xdr:row>1</xdr:row>
      <xdr:rowOff>283489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0B9553-CB44-4C30-9484-EDB35C53B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514350"/>
          <a:ext cx="264718" cy="2644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457200</xdr:rowOff>
    </xdr:from>
    <xdr:ext cx="499508" cy="379314"/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08A3C3-EFE4-4EB7-ABA3-386AB42D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57200"/>
          <a:ext cx="499508" cy="379314"/>
        </a:xfrm>
        <a:prstGeom prst="rect">
          <a:avLst/>
        </a:prstGeom>
      </xdr:spPr>
    </xdr:pic>
    <xdr:clientData/>
  </xdr:oneCellAnchor>
  <xdr:twoCellAnchor editAs="oneCell">
    <xdr:from>
      <xdr:col>0</xdr:col>
      <xdr:colOff>1809750</xdr:colOff>
      <xdr:row>1</xdr:row>
      <xdr:rowOff>19050</xdr:rowOff>
    </xdr:from>
    <xdr:to>
      <xdr:col>0</xdr:col>
      <xdr:colOff>2074468</xdr:colOff>
      <xdr:row>1</xdr:row>
      <xdr:rowOff>283489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BE5C6D-6B36-4E03-BE3C-E7187A1C7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514350"/>
          <a:ext cx="264718" cy="2644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1</xdr:col>
      <xdr:colOff>573027</xdr:colOff>
      <xdr:row>2</xdr:row>
      <xdr:rowOff>214884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2D268C-C0E6-4C14-ACA4-6C528079D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4375"/>
          <a:ext cx="1411227" cy="176784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</xdr:colOff>
      <xdr:row>7</xdr:row>
      <xdr:rowOff>28575</xdr:rowOff>
    </xdr:from>
    <xdr:to>
      <xdr:col>4</xdr:col>
      <xdr:colOff>523875</xdr:colOff>
      <xdr:row>7</xdr:row>
      <xdr:rowOff>238125</xdr:rowOff>
    </xdr:to>
    <xdr:pic>
      <xdr:nvPicPr>
        <xdr:cNvPr id="3" name="Imagen 2" descr="Flecha - Iconos gratis de flechas">
          <a:extLst>
            <a:ext uri="{FF2B5EF4-FFF2-40B4-BE49-F238E27FC236}">
              <a16:creationId xmlns:a16="http://schemas.microsoft.com/office/drawing/2014/main" id="{5EAE0059-6B1A-4BE2-AE24-A02736F13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667125" y="2266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5</xdr:row>
      <xdr:rowOff>47625</xdr:rowOff>
    </xdr:from>
    <xdr:to>
      <xdr:col>4</xdr:col>
      <xdr:colOff>561975</xdr:colOff>
      <xdr:row>5</xdr:row>
      <xdr:rowOff>257175</xdr:rowOff>
    </xdr:to>
    <xdr:pic>
      <xdr:nvPicPr>
        <xdr:cNvPr id="4" name="Imagen 3" descr="Flecha - Iconos gratis de flechas">
          <a:extLst>
            <a:ext uri="{FF2B5EF4-FFF2-40B4-BE49-F238E27FC236}">
              <a16:creationId xmlns:a16="http://schemas.microsoft.com/office/drawing/2014/main" id="{E4707B10-2261-4BE8-94FE-6ECCFA660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705225" y="1638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733425</xdr:colOff>
      <xdr:row>6</xdr:row>
      <xdr:rowOff>38100</xdr:rowOff>
    </xdr:from>
    <xdr:to>
      <xdr:col>4</xdr:col>
      <xdr:colOff>942975</xdr:colOff>
      <xdr:row>6</xdr:row>
      <xdr:rowOff>247650</xdr:rowOff>
    </xdr:to>
    <xdr:pic>
      <xdr:nvPicPr>
        <xdr:cNvPr id="5" name="Imagen 4" descr="Flecha - Iconos gratis de flechas">
          <a:extLst>
            <a:ext uri="{FF2B5EF4-FFF2-40B4-BE49-F238E27FC236}">
              <a16:creationId xmlns:a16="http://schemas.microsoft.com/office/drawing/2014/main" id="{A5E70564-9DFE-4D2A-AE26-E3906E957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086225" y="1952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704850</xdr:colOff>
      <xdr:row>8</xdr:row>
      <xdr:rowOff>19050</xdr:rowOff>
    </xdr:from>
    <xdr:to>
      <xdr:col>4</xdr:col>
      <xdr:colOff>914400</xdr:colOff>
      <xdr:row>8</xdr:row>
      <xdr:rowOff>228600</xdr:rowOff>
    </xdr:to>
    <xdr:pic>
      <xdr:nvPicPr>
        <xdr:cNvPr id="6" name="Imagen 5" descr="Flecha - Iconos gratis de flechas">
          <a:extLst>
            <a:ext uri="{FF2B5EF4-FFF2-40B4-BE49-F238E27FC236}">
              <a16:creationId xmlns:a16="http://schemas.microsoft.com/office/drawing/2014/main" id="{892F0E8E-3B8A-4557-B30E-42357EB9C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057650" y="2581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9</xdr:row>
      <xdr:rowOff>28575</xdr:rowOff>
    </xdr:from>
    <xdr:to>
      <xdr:col>5</xdr:col>
      <xdr:colOff>533400</xdr:colOff>
      <xdr:row>9</xdr:row>
      <xdr:rowOff>238125</xdr:rowOff>
    </xdr:to>
    <xdr:pic>
      <xdr:nvPicPr>
        <xdr:cNvPr id="7" name="Imagen 6" descr="Flecha - Iconos gratis de flechas">
          <a:extLst>
            <a:ext uri="{FF2B5EF4-FFF2-40B4-BE49-F238E27FC236}">
              <a16:creationId xmlns:a16="http://schemas.microsoft.com/office/drawing/2014/main" id="{25F4B4A2-4841-43B7-8706-DB95EFE98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733925" y="2914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552450</xdr:colOff>
      <xdr:row>10</xdr:row>
      <xdr:rowOff>19050</xdr:rowOff>
    </xdr:from>
    <xdr:to>
      <xdr:col>5</xdr:col>
      <xdr:colOff>762000</xdr:colOff>
      <xdr:row>10</xdr:row>
      <xdr:rowOff>228600</xdr:rowOff>
    </xdr:to>
    <xdr:pic>
      <xdr:nvPicPr>
        <xdr:cNvPr id="8" name="Imagen 7" descr="Flecha - Iconos gratis de flechas">
          <a:extLst>
            <a:ext uri="{FF2B5EF4-FFF2-40B4-BE49-F238E27FC236}">
              <a16:creationId xmlns:a16="http://schemas.microsoft.com/office/drawing/2014/main" id="{807972A2-8FFD-42EC-925D-E8142E4ED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962525" y="32289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276225</xdr:colOff>
      <xdr:row>11</xdr:row>
      <xdr:rowOff>28575</xdr:rowOff>
    </xdr:from>
    <xdr:to>
      <xdr:col>5</xdr:col>
      <xdr:colOff>485775</xdr:colOff>
      <xdr:row>11</xdr:row>
      <xdr:rowOff>238125</xdr:rowOff>
    </xdr:to>
    <xdr:pic>
      <xdr:nvPicPr>
        <xdr:cNvPr id="9" name="Imagen 8" descr="Flecha - Iconos gratis de flechas">
          <a:extLst>
            <a:ext uri="{FF2B5EF4-FFF2-40B4-BE49-F238E27FC236}">
              <a16:creationId xmlns:a16="http://schemas.microsoft.com/office/drawing/2014/main" id="{D71D1E9A-013D-4B6A-B62B-ABBD4DDD1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686300" y="3562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590550</xdr:colOff>
      <xdr:row>12</xdr:row>
      <xdr:rowOff>66675</xdr:rowOff>
    </xdr:from>
    <xdr:to>
      <xdr:col>5</xdr:col>
      <xdr:colOff>800100</xdr:colOff>
      <xdr:row>12</xdr:row>
      <xdr:rowOff>276225</xdr:rowOff>
    </xdr:to>
    <xdr:pic>
      <xdr:nvPicPr>
        <xdr:cNvPr id="10" name="Imagen 9" descr="Flecha - Iconos gratis de flechas">
          <a:extLst>
            <a:ext uri="{FF2B5EF4-FFF2-40B4-BE49-F238E27FC236}">
              <a16:creationId xmlns:a16="http://schemas.microsoft.com/office/drawing/2014/main" id="{15FD6C2E-3F11-40D0-9AF3-4DC5CDA3D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5000625" y="3924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571500</xdr:colOff>
      <xdr:row>13</xdr:row>
      <xdr:rowOff>47625</xdr:rowOff>
    </xdr:from>
    <xdr:ext cx="209550" cy="209550"/>
    <xdr:pic>
      <xdr:nvPicPr>
        <xdr:cNvPr id="11" name="Imagen 10" descr="Flecha - Iconos gratis de flechas">
          <a:extLst>
            <a:ext uri="{FF2B5EF4-FFF2-40B4-BE49-F238E27FC236}">
              <a16:creationId xmlns:a16="http://schemas.microsoft.com/office/drawing/2014/main" id="{DF205CFB-7B3B-4E1B-9D75-B0AE34CD9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981575" y="4229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571500</xdr:colOff>
      <xdr:row>14</xdr:row>
      <xdr:rowOff>47625</xdr:rowOff>
    </xdr:from>
    <xdr:ext cx="209550" cy="209550"/>
    <xdr:pic>
      <xdr:nvPicPr>
        <xdr:cNvPr id="12" name="Imagen 11" descr="Flecha - Iconos gratis de flechas">
          <a:extLst>
            <a:ext uri="{FF2B5EF4-FFF2-40B4-BE49-F238E27FC236}">
              <a16:creationId xmlns:a16="http://schemas.microsoft.com/office/drawing/2014/main" id="{2724DD11-887A-4C13-9131-7D5AA8134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981575" y="45529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18</xdr:row>
      <xdr:rowOff>85725</xdr:rowOff>
    </xdr:from>
    <xdr:ext cx="209550" cy="209550"/>
    <xdr:pic>
      <xdr:nvPicPr>
        <xdr:cNvPr id="13" name="Imagen 12" descr="Flecha - Iconos gratis de flechas">
          <a:extLst>
            <a:ext uri="{FF2B5EF4-FFF2-40B4-BE49-F238E27FC236}">
              <a16:creationId xmlns:a16="http://schemas.microsoft.com/office/drawing/2014/main" id="{DF230897-9B49-4C7A-AECA-C92A9173F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5543550" y="5743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561975</xdr:colOff>
      <xdr:row>15</xdr:row>
      <xdr:rowOff>47625</xdr:rowOff>
    </xdr:from>
    <xdr:ext cx="209550" cy="209550"/>
    <xdr:pic>
      <xdr:nvPicPr>
        <xdr:cNvPr id="14" name="Imagen 13" descr="Flecha - Iconos gratis de flechas">
          <a:extLst>
            <a:ext uri="{FF2B5EF4-FFF2-40B4-BE49-F238E27FC236}">
              <a16:creationId xmlns:a16="http://schemas.microsoft.com/office/drawing/2014/main" id="{4E95E141-3670-41DD-971A-80EA54A7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972050" y="48768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0</xdr:colOff>
      <xdr:row>28</xdr:row>
      <xdr:rowOff>0</xdr:rowOff>
    </xdr:from>
    <xdr:to>
      <xdr:col>10</xdr:col>
      <xdr:colOff>809625</xdr:colOff>
      <xdr:row>35</xdr:row>
      <xdr:rowOff>9525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7D267FCB-C993-4815-A4CD-2785ED787EDD}"/>
            </a:ext>
          </a:extLst>
        </xdr:cNvPr>
        <xdr:cNvSpPr/>
      </xdr:nvSpPr>
      <xdr:spPr>
        <a:xfrm>
          <a:off x="1676400" y="8210550"/>
          <a:ext cx="10515600" cy="1276350"/>
        </a:xfrm>
        <a:prstGeom prst="roundRect">
          <a:avLst/>
        </a:prstGeom>
        <a:solidFill>
          <a:schemeClr val="bg1"/>
        </a:solidFill>
        <a:ln w="19050">
          <a:solidFill>
            <a:srgbClr val="651E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000">
              <a:solidFill>
                <a:schemeClr val="tx1"/>
              </a:solidFill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¿POR QUÉ SÍ INVERTIR?, ¿POR QUÉ NO INVERTIR?, FACTORES CLAVE</a:t>
          </a:r>
          <a:r>
            <a:rPr lang="es-MX" sz="1000" baseline="0">
              <a:solidFill>
                <a:schemeClr val="tx1"/>
              </a:solidFill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 </a:t>
          </a:r>
          <a:r>
            <a:rPr lang="es-MX" sz="1000">
              <a:solidFill>
                <a:schemeClr val="tx1"/>
              </a:solidFill>
              <a:latin typeface="Open Sans Condensed" panose="020B0806030504020204" pitchFamily="34" charset="0"/>
              <a:ea typeface="Open Sans Condensed" panose="020B0806030504020204" pitchFamily="34" charset="0"/>
              <a:cs typeface="Open Sans Condensed" panose="020B0806030504020204" pitchFamily="34" charset="0"/>
            </a:rPr>
            <a:t>A TOMAR EN CUENTA (RIESGO, SECTOR,ETC)</a:t>
          </a:r>
        </a:p>
      </xdr:txBody>
    </xdr:sp>
    <xdr:clientData/>
  </xdr:twoCellAnchor>
  <xdr:oneCellAnchor>
    <xdr:from>
      <xdr:col>4</xdr:col>
      <xdr:colOff>333375</xdr:colOff>
      <xdr:row>4</xdr:row>
      <xdr:rowOff>28575</xdr:rowOff>
    </xdr:from>
    <xdr:ext cx="209550" cy="209550"/>
    <xdr:pic>
      <xdr:nvPicPr>
        <xdr:cNvPr id="16" name="Imagen 15" descr="Flecha - Iconos gratis de flechas">
          <a:extLst>
            <a:ext uri="{FF2B5EF4-FFF2-40B4-BE49-F238E27FC236}">
              <a16:creationId xmlns:a16="http://schemas.microsoft.com/office/drawing/2014/main" id="{6F33828B-DB65-484B-A883-02D3126E7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686175" y="1295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&#193;LISIS%20CUANTITATIVO%20DE%20ACCIONES-VIDEO%20YOUT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ANÁLISIS CUALITATIVO"/>
      <sheetName val="FINANCIAL DATA"/>
      <sheetName val="FINANCIAL Q´S"/>
      <sheetName val="ANÁLISIS CUANTITATIVO"/>
      <sheetName val="YAHOO"/>
      <sheetName val="YAHOO (2)"/>
      <sheetName val="MORNING"/>
      <sheetName val="MORNING_5YR"/>
      <sheetName val="MORNING (2)"/>
      <sheetName val="MORNING (3)"/>
      <sheetName val="MORNING (4)"/>
      <sheetName val="YAHOO_PR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09C1-F3CD-4830-9FD5-7158E40ABF69}">
  <sheetPr>
    <tabColor theme="1"/>
  </sheetPr>
  <dimension ref="C9:F9"/>
  <sheetViews>
    <sheetView topLeftCell="A9" zoomScale="80" zoomScaleNormal="80" workbookViewId="0">
      <selection activeCell="J26" sqref="J26"/>
    </sheetView>
  </sheetViews>
  <sheetFormatPr baseColWidth="10" defaultRowHeight="14.25" x14ac:dyDescent="0.2"/>
  <cols>
    <col min="1" max="16384" width="11" style="1"/>
  </cols>
  <sheetData>
    <row r="9" spans="3:6" ht="30.75" x14ac:dyDescent="0.7">
      <c r="C9" s="2" t="s">
        <v>41</v>
      </c>
      <c r="F9" s="2" t="s">
        <v>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7A6E-900E-475D-B35F-22A4B2841E58}">
  <sheetPr>
    <tabColor rgb="FF7030A0"/>
  </sheetPr>
  <dimension ref="A1:H68"/>
  <sheetViews>
    <sheetView zoomScale="113" workbookViewId="0">
      <selection activeCell="E7" sqref="E7"/>
    </sheetView>
  </sheetViews>
  <sheetFormatPr baseColWidth="10" defaultColWidth="10.875" defaultRowHeight="20.25" x14ac:dyDescent="0.5"/>
  <cols>
    <col min="1" max="1" width="3.125" style="4" customWidth="1"/>
    <col min="2" max="2" width="3.375" style="4" customWidth="1"/>
    <col min="3" max="3" width="3.5" style="4" customWidth="1"/>
    <col min="4" max="16384" width="10.875" style="4"/>
  </cols>
  <sheetData>
    <row r="1" spans="1:8" ht="39" x14ac:dyDescent="0.9">
      <c r="A1" s="3" t="s">
        <v>7</v>
      </c>
    </row>
    <row r="2" spans="1:8" ht="27" x14ac:dyDescent="0.65">
      <c r="A2" s="5"/>
      <c r="E2" s="1"/>
      <c r="F2" s="4" t="s">
        <v>41</v>
      </c>
      <c r="H2" s="4" t="str">
        <f>+PORTADA!F9</f>
        <v>EMPRESA EJEMPLO</v>
      </c>
    </row>
    <row r="3" spans="1:8" ht="25.5" customHeight="1" x14ac:dyDescent="0.65">
      <c r="A3" s="5"/>
      <c r="E3" s="6" t="s">
        <v>5</v>
      </c>
    </row>
    <row r="4" spans="1:8" x14ac:dyDescent="0.5">
      <c r="E4" s="4">
        <v>1</v>
      </c>
      <c r="F4" s="4" t="s">
        <v>8</v>
      </c>
    </row>
    <row r="9" spans="1:8" x14ac:dyDescent="0.5">
      <c r="E9" s="4">
        <v>2</v>
      </c>
      <c r="F9" s="4" t="s">
        <v>0</v>
      </c>
    </row>
    <row r="14" spans="1:8" x14ac:dyDescent="0.5">
      <c r="E14" s="4">
        <v>3</v>
      </c>
      <c r="F14" s="4" t="s">
        <v>189</v>
      </c>
    </row>
    <row r="19" spans="5:8" x14ac:dyDescent="0.5">
      <c r="E19" s="4">
        <v>4</v>
      </c>
      <c r="F19" s="10" t="s">
        <v>1</v>
      </c>
    </row>
    <row r="20" spans="5:8" x14ac:dyDescent="0.5">
      <c r="G20" s="4" t="s">
        <v>10</v>
      </c>
    </row>
    <row r="21" spans="5:8" x14ac:dyDescent="0.5">
      <c r="G21" s="4" t="s">
        <v>6</v>
      </c>
    </row>
    <row r="22" spans="5:8" x14ac:dyDescent="0.5">
      <c r="G22" s="9" t="s">
        <v>2</v>
      </c>
      <c r="H22" s="4" t="s">
        <v>12</v>
      </c>
    </row>
    <row r="23" spans="5:8" x14ac:dyDescent="0.5">
      <c r="G23" s="9" t="s">
        <v>3</v>
      </c>
      <c r="H23" s="4" t="s">
        <v>11</v>
      </c>
    </row>
    <row r="24" spans="5:8" x14ac:dyDescent="0.5">
      <c r="G24" s="4" t="s">
        <v>9</v>
      </c>
      <c r="H24" s="7"/>
    </row>
    <row r="25" spans="5:8" x14ac:dyDescent="0.5">
      <c r="G25" s="9" t="s">
        <v>14</v>
      </c>
      <c r="H25" s="4" t="s">
        <v>17</v>
      </c>
    </row>
    <row r="26" spans="5:8" x14ac:dyDescent="0.5">
      <c r="G26" s="9" t="s">
        <v>15</v>
      </c>
      <c r="H26" s="4" t="s">
        <v>18</v>
      </c>
    </row>
    <row r="27" spans="5:8" x14ac:dyDescent="0.5">
      <c r="G27" s="9" t="s">
        <v>16</v>
      </c>
      <c r="H27" s="4" t="s">
        <v>19</v>
      </c>
    </row>
    <row r="28" spans="5:8" x14ac:dyDescent="0.5">
      <c r="E28" s="4">
        <v>5</v>
      </c>
      <c r="F28" s="4" t="s">
        <v>20</v>
      </c>
    </row>
    <row r="31" spans="5:8" x14ac:dyDescent="0.5">
      <c r="H31" s="7"/>
    </row>
    <row r="34" spans="5:8" x14ac:dyDescent="0.5">
      <c r="E34" s="4" t="s">
        <v>4</v>
      </c>
    </row>
    <row r="35" spans="5:8" x14ac:dyDescent="0.5">
      <c r="E35" s="4">
        <v>1</v>
      </c>
      <c r="F35" s="10" t="s">
        <v>1</v>
      </c>
    </row>
    <row r="36" spans="5:8" x14ac:dyDescent="0.5">
      <c r="G36" s="4" t="s">
        <v>21</v>
      </c>
    </row>
    <row r="37" spans="5:8" x14ac:dyDescent="0.5">
      <c r="G37" s="4" t="s">
        <v>22</v>
      </c>
    </row>
    <row r="38" spans="5:8" x14ac:dyDescent="0.5">
      <c r="G38" s="9" t="s">
        <v>23</v>
      </c>
      <c r="H38" s="4" t="s">
        <v>12</v>
      </c>
    </row>
    <row r="39" spans="5:8" x14ac:dyDescent="0.5">
      <c r="G39" s="9" t="s">
        <v>24</v>
      </c>
      <c r="H39" s="4" t="s">
        <v>11</v>
      </c>
    </row>
    <row r="40" spans="5:8" x14ac:dyDescent="0.5">
      <c r="G40" s="9" t="s">
        <v>25</v>
      </c>
      <c r="H40" s="4" t="s">
        <v>13</v>
      </c>
    </row>
    <row r="41" spans="5:8" x14ac:dyDescent="0.5">
      <c r="G41" s="4" t="s">
        <v>26</v>
      </c>
      <c r="H41" s="7"/>
    </row>
    <row r="42" spans="5:8" x14ac:dyDescent="0.5">
      <c r="G42" s="9" t="s">
        <v>27</v>
      </c>
      <c r="H42" s="4" t="s">
        <v>17</v>
      </c>
    </row>
    <row r="43" spans="5:8" x14ac:dyDescent="0.5">
      <c r="G43" s="9" t="s">
        <v>28</v>
      </c>
      <c r="H43" s="4" t="s">
        <v>18</v>
      </c>
    </row>
    <row r="44" spans="5:8" x14ac:dyDescent="0.5">
      <c r="G44" s="9" t="s">
        <v>29</v>
      </c>
      <c r="H44" s="4" t="s">
        <v>19</v>
      </c>
    </row>
    <row r="46" spans="5:8" x14ac:dyDescent="0.5">
      <c r="E46" s="4" t="s">
        <v>34</v>
      </c>
    </row>
    <row r="47" spans="5:8" x14ac:dyDescent="0.5">
      <c r="E47" s="4">
        <v>1</v>
      </c>
      <c r="F47" s="4" t="s">
        <v>30</v>
      </c>
    </row>
    <row r="52" spans="5:6" x14ac:dyDescent="0.5">
      <c r="E52" s="4">
        <v>2</v>
      </c>
      <c r="F52" s="4" t="s">
        <v>31</v>
      </c>
    </row>
    <row r="57" spans="5:6" x14ac:dyDescent="0.5">
      <c r="E57" s="4">
        <v>3</v>
      </c>
      <c r="F57" s="4" t="s">
        <v>32</v>
      </c>
    </row>
    <row r="62" spans="5:6" x14ac:dyDescent="0.5">
      <c r="E62" s="4">
        <v>4</v>
      </c>
      <c r="F62" s="4" t="s">
        <v>33</v>
      </c>
    </row>
    <row r="68" spans="7:7" x14ac:dyDescent="0.5">
      <c r="G68" s="8"/>
    </row>
  </sheetData>
  <hyperlinks>
    <hyperlink ref="F19" location="DIEZ_K" display="Selected Financial Data" xr:uid="{BE6EEA22-73B9-4BCF-92C8-D71C456C50F5}"/>
    <hyperlink ref="F35" location="'FINANCIAL Q´S'!A1" display="Selected Financial Data" xr:uid="{C3D0B294-01DF-42BD-8823-007F04F3C5A2}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93A8-862B-4C51-ADF6-C23A54E9249B}">
  <sheetPr>
    <tabColor theme="1"/>
  </sheetPr>
  <dimension ref="A1:N15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140" sqref="G140"/>
    </sheetView>
  </sheetViews>
  <sheetFormatPr baseColWidth="10" defaultRowHeight="24" x14ac:dyDescent="0.55000000000000004"/>
  <cols>
    <col min="1" max="1" width="55.75" style="12" customWidth="1"/>
    <col min="2" max="2" width="13" style="12" customWidth="1"/>
    <col min="3" max="3" width="15.25" style="12" customWidth="1"/>
    <col min="4" max="4" width="16" style="12" bestFit="1" customWidth="1"/>
    <col min="5" max="5" width="14.5" style="12" customWidth="1"/>
    <col min="6" max="6" width="16" style="12" customWidth="1"/>
    <col min="7" max="7" width="12.375" style="12" bestFit="1" customWidth="1"/>
    <col min="8" max="8" width="12.125" style="12" bestFit="1" customWidth="1"/>
    <col min="9" max="11" width="12.375" style="12" bestFit="1" customWidth="1"/>
    <col min="12" max="16384" width="11" style="12"/>
  </cols>
  <sheetData>
    <row r="1" spans="1:14" ht="39" x14ac:dyDescent="0.9">
      <c r="A1" s="11" t="s">
        <v>35</v>
      </c>
    </row>
    <row r="2" spans="1:14" x14ac:dyDescent="0.55000000000000004">
      <c r="B2" s="14" t="s">
        <v>41</v>
      </c>
      <c r="C2" s="15"/>
      <c r="D2" s="14" t="str">
        <f>+'ANÁLISIS CUALITATIVO'!H2</f>
        <v>EMPRESA EJEMPLO</v>
      </c>
    </row>
    <row r="3" spans="1:14" ht="24.75" thickBot="1" x14ac:dyDescent="0.6">
      <c r="A3" s="103" t="s">
        <v>40</v>
      </c>
      <c r="B3" s="103"/>
      <c r="C3" s="103"/>
      <c r="D3" s="103"/>
      <c r="E3" s="103"/>
      <c r="F3" s="103"/>
      <c r="G3" s="103"/>
      <c r="H3" s="103"/>
      <c r="I3" s="103"/>
      <c r="J3" s="103"/>
    </row>
    <row r="4" spans="1:14" ht="24.75" thickBot="1" x14ac:dyDescent="0.6">
      <c r="A4" s="12" t="s">
        <v>36</v>
      </c>
      <c r="B4" s="104" t="s">
        <v>187</v>
      </c>
      <c r="C4" s="105"/>
      <c r="D4" s="105"/>
      <c r="E4" s="105"/>
      <c r="F4" s="106"/>
      <c r="G4" s="104" t="s">
        <v>70</v>
      </c>
      <c r="H4" s="105"/>
      <c r="I4" s="105"/>
      <c r="J4" s="105"/>
      <c r="K4" s="106"/>
    </row>
    <row r="5" spans="1:14" ht="24.75" thickBot="1" x14ac:dyDescent="0.6">
      <c r="A5" s="16" t="str">
        <f>+D2</f>
        <v>EMPRESA EJEMPLO</v>
      </c>
      <c r="B5" s="33">
        <v>2016</v>
      </c>
      <c r="C5" s="34">
        <f>+B5+1</f>
        <v>2017</v>
      </c>
      <c r="D5" s="34">
        <f t="shared" ref="D5:F5" si="0">+C5+1</f>
        <v>2018</v>
      </c>
      <c r="E5" s="34">
        <f t="shared" si="0"/>
        <v>2019</v>
      </c>
      <c r="F5" s="35">
        <f t="shared" si="0"/>
        <v>2020</v>
      </c>
      <c r="G5" s="33">
        <v>2016</v>
      </c>
      <c r="H5" s="34">
        <f>+G5+1</f>
        <v>2017</v>
      </c>
      <c r="I5" s="34">
        <f t="shared" ref="I5:K5" si="1">+H5+1</f>
        <v>2018</v>
      </c>
      <c r="J5" s="34">
        <f t="shared" si="1"/>
        <v>2019</v>
      </c>
      <c r="K5" s="35">
        <f t="shared" si="1"/>
        <v>2020</v>
      </c>
    </row>
    <row r="6" spans="1:14" x14ac:dyDescent="0.55000000000000004">
      <c r="A6" s="21" t="s">
        <v>43</v>
      </c>
      <c r="B6" s="47" t="s">
        <v>545</v>
      </c>
      <c r="C6" s="48" t="s">
        <v>546</v>
      </c>
      <c r="D6" s="48" t="s">
        <v>547</v>
      </c>
      <c r="E6" s="48" t="s">
        <v>548</v>
      </c>
      <c r="F6" s="49" t="s">
        <v>549</v>
      </c>
      <c r="G6" s="17"/>
      <c r="H6" s="17"/>
      <c r="I6" s="17"/>
      <c r="J6" s="17"/>
      <c r="K6" s="17"/>
      <c r="L6" s="17"/>
      <c r="M6" s="17"/>
      <c r="N6" s="17"/>
    </row>
    <row r="7" spans="1:14" x14ac:dyDescent="0.55000000000000004">
      <c r="A7" s="19" t="s">
        <v>45</v>
      </c>
      <c r="B7" s="50" t="s">
        <v>550</v>
      </c>
      <c r="C7" s="51" t="s">
        <v>551</v>
      </c>
      <c r="D7" s="51" t="s">
        <v>552</v>
      </c>
      <c r="E7" s="51" t="s">
        <v>553</v>
      </c>
      <c r="F7" s="52" t="s">
        <v>554</v>
      </c>
      <c r="G7" s="18">
        <f>+(C7-B7)/B7</f>
        <v>0.30796326119408474</v>
      </c>
      <c r="H7" s="18">
        <f t="shared" ref="H7:I7" si="2">+(D7-C7)/C7</f>
        <v>0.3093396152159491</v>
      </c>
      <c r="I7" s="18">
        <f t="shared" si="2"/>
        <v>0.2045412582067698</v>
      </c>
      <c r="J7" s="18">
        <f>+(F7-E7)/E7</f>
        <v>0.37623430604373276</v>
      </c>
      <c r="K7" s="18"/>
      <c r="L7" s="17"/>
      <c r="M7" s="17"/>
      <c r="N7" s="17"/>
    </row>
    <row r="8" spans="1:14" x14ac:dyDescent="0.55000000000000004">
      <c r="A8" t="s">
        <v>46</v>
      </c>
      <c r="B8" s="50" t="s">
        <v>550</v>
      </c>
      <c r="C8" s="51" t="s">
        <v>551</v>
      </c>
      <c r="D8" s="51" t="s">
        <v>552</v>
      </c>
      <c r="E8" s="51" t="s">
        <v>553</v>
      </c>
      <c r="F8" s="52" t="s">
        <v>554</v>
      </c>
      <c r="G8" s="17"/>
      <c r="H8" s="17"/>
      <c r="I8" s="17"/>
      <c r="J8" s="17"/>
      <c r="K8" s="17"/>
      <c r="L8" s="17"/>
      <c r="M8" s="17"/>
      <c r="N8" s="17"/>
    </row>
    <row r="9" spans="1:14" x14ac:dyDescent="0.55000000000000004">
      <c r="A9" t="s">
        <v>47</v>
      </c>
      <c r="B9" s="50" t="s">
        <v>555</v>
      </c>
      <c r="C9" s="51" t="s">
        <v>556</v>
      </c>
      <c r="D9" s="51" t="s">
        <v>557</v>
      </c>
      <c r="E9" s="51" t="s">
        <v>558</v>
      </c>
      <c r="F9" s="52" t="s">
        <v>559</v>
      </c>
      <c r="G9" s="17"/>
      <c r="H9" s="17"/>
      <c r="I9" s="17"/>
      <c r="J9" s="17"/>
      <c r="K9" s="17"/>
      <c r="L9" s="17"/>
      <c r="M9" s="17"/>
      <c r="N9" s="17"/>
    </row>
    <row r="10" spans="1:14" x14ac:dyDescent="0.55000000000000004">
      <c r="A10" t="s">
        <v>48</v>
      </c>
      <c r="B10" s="50" t="s">
        <v>555</v>
      </c>
      <c r="C10" s="51" t="s">
        <v>556</v>
      </c>
      <c r="D10" s="51" t="s">
        <v>557</v>
      </c>
      <c r="E10" s="51" t="s">
        <v>558</v>
      </c>
      <c r="F10" s="52" t="s">
        <v>559</v>
      </c>
      <c r="G10" s="17"/>
      <c r="H10" s="17"/>
      <c r="I10" s="17"/>
      <c r="J10" s="17"/>
      <c r="K10" s="17"/>
      <c r="L10" s="17"/>
      <c r="M10" s="17"/>
      <c r="N10" s="17"/>
    </row>
    <row r="11" spans="1:14" x14ac:dyDescent="0.55000000000000004">
      <c r="A11" t="s">
        <v>49</v>
      </c>
      <c r="B11" s="50" t="s">
        <v>560</v>
      </c>
      <c r="C11" s="51" t="s">
        <v>561</v>
      </c>
      <c r="D11" s="51" t="s">
        <v>562</v>
      </c>
      <c r="E11" s="51" t="s">
        <v>563</v>
      </c>
      <c r="F11" s="52" t="s">
        <v>564</v>
      </c>
      <c r="G11" s="17"/>
      <c r="H11" s="17"/>
      <c r="I11" s="17"/>
      <c r="J11" s="17"/>
      <c r="K11" s="17"/>
      <c r="L11" s="17"/>
      <c r="M11" s="17"/>
      <c r="N11" s="17"/>
    </row>
    <row r="12" spans="1:14" x14ac:dyDescent="0.55000000000000004">
      <c r="A12" t="s">
        <v>50</v>
      </c>
      <c r="B12" s="50" t="s">
        <v>565</v>
      </c>
      <c r="C12" s="51" t="s">
        <v>566</v>
      </c>
      <c r="D12" s="51" t="s">
        <v>567</v>
      </c>
      <c r="E12" s="51" t="s">
        <v>568</v>
      </c>
      <c r="F12" s="52" t="s">
        <v>569</v>
      </c>
      <c r="G12" s="17"/>
      <c r="H12" s="17"/>
      <c r="I12" s="17"/>
      <c r="J12" s="17"/>
      <c r="K12" s="17"/>
      <c r="L12" s="17"/>
      <c r="M12" s="17"/>
      <c r="N12" s="17"/>
    </row>
    <row r="13" spans="1:14" x14ac:dyDescent="0.55000000000000004">
      <c r="A13" t="s">
        <v>51</v>
      </c>
      <c r="B13" s="50" t="s">
        <v>570</v>
      </c>
      <c r="C13" s="51" t="s">
        <v>571</v>
      </c>
      <c r="D13" s="51" t="s">
        <v>572</v>
      </c>
      <c r="E13" s="51" t="s">
        <v>573</v>
      </c>
      <c r="F13" s="52" t="s">
        <v>574</v>
      </c>
      <c r="G13" s="17"/>
      <c r="H13" s="17"/>
      <c r="I13" s="17"/>
      <c r="J13" s="17"/>
      <c r="K13" s="17"/>
      <c r="L13" s="17"/>
      <c r="M13" s="17"/>
      <c r="N13" s="17"/>
    </row>
    <row r="14" spans="1:14" x14ac:dyDescent="0.55000000000000004">
      <c r="A14" t="s">
        <v>52</v>
      </c>
      <c r="B14" s="50" t="s">
        <v>575</v>
      </c>
      <c r="C14" s="51" t="s">
        <v>576</v>
      </c>
      <c r="D14" s="51" t="s">
        <v>577</v>
      </c>
      <c r="E14" s="51" t="s">
        <v>578</v>
      </c>
      <c r="F14" s="52" t="s">
        <v>579</v>
      </c>
      <c r="G14" s="17"/>
      <c r="H14" s="17"/>
      <c r="I14" s="17"/>
      <c r="J14" s="17"/>
      <c r="K14" s="17"/>
      <c r="L14" s="17"/>
      <c r="M14" s="17"/>
      <c r="N14" s="17"/>
    </row>
    <row r="15" spans="1:14" x14ac:dyDescent="0.55000000000000004">
      <c r="A15" s="19" t="s">
        <v>53</v>
      </c>
      <c r="B15" s="50" t="s">
        <v>580</v>
      </c>
      <c r="C15" s="51" t="s">
        <v>581</v>
      </c>
      <c r="D15" s="51" t="s">
        <v>582</v>
      </c>
      <c r="E15" s="51" t="s">
        <v>583</v>
      </c>
      <c r="F15" s="52" t="s">
        <v>584</v>
      </c>
      <c r="G15" s="18">
        <f>+(C15-B15)/B15</f>
        <v>0.40627914205781784</v>
      </c>
      <c r="H15" s="18">
        <f>+(D15-C15)/C15</f>
        <v>0.27484526967285589</v>
      </c>
      <c r="I15" s="18">
        <f>+(E15-D15)/D15</f>
        <v>0.24600339841176266</v>
      </c>
      <c r="J15" s="18">
        <f>+(F15-E15)/E15</f>
        <v>0.18950210124961733</v>
      </c>
      <c r="K15" s="17"/>
      <c r="L15" s="17"/>
      <c r="M15" s="17"/>
      <c r="N15" s="17"/>
    </row>
    <row r="16" spans="1:14" x14ac:dyDescent="0.55000000000000004">
      <c r="A16" t="s">
        <v>54</v>
      </c>
      <c r="B16" s="50" t="s">
        <v>585</v>
      </c>
      <c r="C16" s="51" t="s">
        <v>586</v>
      </c>
      <c r="D16" s="51" t="s">
        <v>587</v>
      </c>
      <c r="E16" s="51" t="s">
        <v>588</v>
      </c>
      <c r="F16" s="52" t="s">
        <v>589</v>
      </c>
      <c r="G16" s="17"/>
      <c r="H16" s="17"/>
      <c r="I16" s="17"/>
      <c r="J16" s="17"/>
      <c r="K16" s="17"/>
      <c r="L16" s="17"/>
      <c r="M16" s="17"/>
      <c r="N16" s="17"/>
    </row>
    <row r="17" spans="1:14" x14ac:dyDescent="0.55000000000000004">
      <c r="A17" s="19" t="s">
        <v>55</v>
      </c>
      <c r="B17" s="50" t="s">
        <v>590</v>
      </c>
      <c r="C17" s="51" t="s">
        <v>591</v>
      </c>
      <c r="D17" s="51" t="s">
        <v>592</v>
      </c>
      <c r="E17" s="51" t="s">
        <v>593</v>
      </c>
      <c r="F17" s="52" t="s">
        <v>594</v>
      </c>
      <c r="G17" s="18">
        <f>+(C17-B17)/B17</f>
        <v>-1.9111323459149548E-2</v>
      </c>
      <c r="H17" s="18">
        <f>+(D17-C17)/C17</f>
        <v>2.02508524111057</v>
      </c>
      <c r="I17" s="18">
        <f>+(E17-D17)/D17</f>
        <v>0.17067868931648014</v>
      </c>
      <c r="J17" s="18">
        <f>+(F17-E17)/E17</f>
        <v>0.57478852898700228</v>
      </c>
      <c r="K17" s="17"/>
      <c r="L17" s="17"/>
      <c r="M17" s="17"/>
      <c r="N17" s="17"/>
    </row>
    <row r="18" spans="1:14" x14ac:dyDescent="0.55000000000000004">
      <c r="A18" t="s">
        <v>56</v>
      </c>
      <c r="B18" s="50" t="s">
        <v>595</v>
      </c>
      <c r="C18" s="51" t="s">
        <v>596</v>
      </c>
      <c r="D18" s="51" t="s">
        <v>597</v>
      </c>
      <c r="E18" s="51" t="s">
        <v>598</v>
      </c>
      <c r="F18" s="52" t="s">
        <v>599</v>
      </c>
      <c r="G18" s="17"/>
      <c r="H18" s="17"/>
      <c r="I18" s="17"/>
      <c r="J18" s="17"/>
      <c r="K18" s="17"/>
      <c r="L18" s="17"/>
      <c r="M18" s="17"/>
      <c r="N18" s="17"/>
    </row>
    <row r="19" spans="1:14" x14ac:dyDescent="0.55000000000000004">
      <c r="A19" t="s">
        <v>57</v>
      </c>
      <c r="B19" s="50" t="s">
        <v>600</v>
      </c>
      <c r="C19" s="51" t="s">
        <v>601</v>
      </c>
      <c r="D19" s="51" t="s">
        <v>602</v>
      </c>
      <c r="E19" s="51" t="s">
        <v>603</v>
      </c>
      <c r="F19" s="52" t="s">
        <v>604</v>
      </c>
      <c r="G19" s="17"/>
      <c r="H19" s="17"/>
      <c r="I19" s="17"/>
      <c r="J19" s="17"/>
      <c r="K19" s="17"/>
      <c r="L19" s="17"/>
      <c r="M19" s="17"/>
      <c r="N19" s="17"/>
    </row>
    <row r="20" spans="1:14" x14ac:dyDescent="0.55000000000000004">
      <c r="A20" t="s">
        <v>58</v>
      </c>
      <c r="B20" s="50" t="s">
        <v>600</v>
      </c>
      <c r="C20" s="51" t="s">
        <v>601</v>
      </c>
      <c r="D20" s="51" t="s">
        <v>602</v>
      </c>
      <c r="E20" s="51" t="s">
        <v>603</v>
      </c>
      <c r="F20" s="52" t="s">
        <v>604</v>
      </c>
      <c r="G20" s="17"/>
      <c r="H20" s="17"/>
      <c r="I20" s="17"/>
      <c r="J20" s="17"/>
      <c r="K20" s="17"/>
      <c r="L20" s="17"/>
      <c r="M20" s="17"/>
      <c r="N20" s="17"/>
    </row>
    <row r="21" spans="1:14" x14ac:dyDescent="0.55000000000000004">
      <c r="A21" t="s">
        <v>59</v>
      </c>
      <c r="B21" s="50" t="s">
        <v>605</v>
      </c>
      <c r="C21" s="51" t="s">
        <v>606</v>
      </c>
      <c r="D21" s="51" t="s">
        <v>607</v>
      </c>
      <c r="E21" s="51" t="s">
        <v>608</v>
      </c>
      <c r="F21" s="52" t="s">
        <v>609</v>
      </c>
      <c r="G21" s="17"/>
      <c r="H21" s="17"/>
      <c r="I21" s="17"/>
      <c r="J21" s="17"/>
      <c r="K21" s="17"/>
      <c r="L21" s="17"/>
      <c r="M21" s="17"/>
      <c r="N21" s="17"/>
    </row>
    <row r="22" spans="1:14" x14ac:dyDescent="0.55000000000000004">
      <c r="A22" t="s">
        <v>60</v>
      </c>
      <c r="B22" s="50" t="s">
        <v>522</v>
      </c>
      <c r="C22" s="51" t="s">
        <v>610</v>
      </c>
      <c r="D22" s="51" t="s">
        <v>611</v>
      </c>
      <c r="E22" s="51" t="s">
        <v>612</v>
      </c>
      <c r="F22" s="52" t="s">
        <v>613</v>
      </c>
      <c r="G22" s="17"/>
      <c r="H22" s="17"/>
      <c r="I22" s="17"/>
      <c r="J22" s="17"/>
      <c r="K22" s="17"/>
      <c r="L22" s="17"/>
      <c r="M22" s="17"/>
      <c r="N22" s="17"/>
    </row>
    <row r="23" spans="1:14" x14ac:dyDescent="0.55000000000000004">
      <c r="A23" t="s">
        <v>61</v>
      </c>
      <c r="B23" s="50" t="s">
        <v>614</v>
      </c>
      <c r="C23" s="51" t="s">
        <v>615</v>
      </c>
      <c r="D23" s="51" t="s">
        <v>616</v>
      </c>
      <c r="E23" s="51" t="s">
        <v>617</v>
      </c>
      <c r="F23" s="52" t="s">
        <v>412</v>
      </c>
      <c r="G23" s="17"/>
      <c r="H23" s="17"/>
      <c r="I23" s="17"/>
      <c r="J23" s="17"/>
      <c r="K23" s="17"/>
      <c r="L23" s="17"/>
      <c r="M23" s="17"/>
      <c r="N23" s="17"/>
    </row>
    <row r="24" spans="1:14" x14ac:dyDescent="0.55000000000000004">
      <c r="A24" t="s">
        <v>62</v>
      </c>
      <c r="B24" s="53" t="s">
        <v>235</v>
      </c>
      <c r="C24" s="54" t="s">
        <v>235</v>
      </c>
      <c r="D24" s="54" t="s">
        <v>235</v>
      </c>
      <c r="E24" s="54" t="s">
        <v>235</v>
      </c>
      <c r="F24" s="55" t="s">
        <v>235</v>
      </c>
      <c r="G24" s="17"/>
      <c r="H24" s="17"/>
      <c r="I24" s="17"/>
      <c r="J24" s="17"/>
      <c r="K24" s="17"/>
      <c r="L24" s="17"/>
      <c r="M24" s="17"/>
      <c r="N24" s="17"/>
    </row>
    <row r="25" spans="1:14" x14ac:dyDescent="0.55000000000000004">
      <c r="A25" t="s">
        <v>44</v>
      </c>
      <c r="B25" s="50" t="s">
        <v>618</v>
      </c>
      <c r="C25" s="51" t="s">
        <v>619</v>
      </c>
      <c r="D25" s="51" t="s">
        <v>620</v>
      </c>
      <c r="E25" s="51" t="s">
        <v>621</v>
      </c>
      <c r="F25" s="52" t="s">
        <v>622</v>
      </c>
      <c r="G25" s="17"/>
      <c r="H25" s="17"/>
      <c r="I25" s="17"/>
      <c r="J25" s="17"/>
      <c r="K25" s="17"/>
      <c r="L25" s="17"/>
      <c r="M25" s="17"/>
      <c r="N25" s="17"/>
    </row>
    <row r="26" spans="1:14" x14ac:dyDescent="0.55000000000000004">
      <c r="A26" t="s">
        <v>63</v>
      </c>
      <c r="B26" s="50" t="s">
        <v>623</v>
      </c>
      <c r="C26" s="51" t="s">
        <v>624</v>
      </c>
      <c r="D26" s="51" t="s">
        <v>625</v>
      </c>
      <c r="E26" s="51" t="s">
        <v>626</v>
      </c>
      <c r="F26" s="52" t="s">
        <v>627</v>
      </c>
      <c r="G26" s="17"/>
      <c r="H26" s="17"/>
      <c r="I26" s="17"/>
      <c r="J26" s="17"/>
      <c r="K26" s="17"/>
      <c r="L26" s="17"/>
      <c r="M26" s="17"/>
      <c r="N26" s="17"/>
    </row>
    <row r="27" spans="1:14" x14ac:dyDescent="0.55000000000000004">
      <c r="A27" t="s">
        <v>64</v>
      </c>
      <c r="B27" s="50" t="s">
        <v>628</v>
      </c>
      <c r="C27" s="51" t="s">
        <v>629</v>
      </c>
      <c r="D27" s="51" t="s">
        <v>630</v>
      </c>
      <c r="E27" s="51" t="s">
        <v>631</v>
      </c>
      <c r="F27" s="52" t="s">
        <v>632</v>
      </c>
      <c r="G27" s="17"/>
      <c r="H27" s="17"/>
      <c r="I27" s="17"/>
      <c r="J27" s="17"/>
      <c r="K27" s="17"/>
      <c r="L27" s="17"/>
      <c r="M27" s="17"/>
      <c r="N27" s="17"/>
    </row>
    <row r="28" spans="1:14" x14ac:dyDescent="0.55000000000000004">
      <c r="A28" t="s">
        <v>65</v>
      </c>
      <c r="B28" s="50" t="s">
        <v>412</v>
      </c>
      <c r="C28" s="51" t="s">
        <v>413</v>
      </c>
      <c r="D28" s="51" t="s">
        <v>414</v>
      </c>
      <c r="E28" s="51" t="s">
        <v>415</v>
      </c>
      <c r="F28" s="52" t="s">
        <v>416</v>
      </c>
      <c r="G28" s="17"/>
      <c r="H28" s="17"/>
      <c r="I28" s="17"/>
      <c r="J28" s="17"/>
      <c r="K28" s="17"/>
      <c r="L28" s="17"/>
      <c r="M28" s="17"/>
      <c r="N28" s="17"/>
    </row>
    <row r="29" spans="1:14" x14ac:dyDescent="0.55000000000000004">
      <c r="A29" t="s">
        <v>66</v>
      </c>
      <c r="B29" s="50" t="s">
        <v>412</v>
      </c>
      <c r="C29" s="51" t="s">
        <v>413</v>
      </c>
      <c r="D29" s="51" t="s">
        <v>414</v>
      </c>
      <c r="E29" s="51" t="s">
        <v>415</v>
      </c>
      <c r="F29" s="52" t="s">
        <v>416</v>
      </c>
      <c r="G29" s="17"/>
      <c r="H29" s="17"/>
      <c r="I29" s="17"/>
      <c r="J29" s="17"/>
      <c r="K29" s="17"/>
      <c r="L29" s="17"/>
      <c r="M29" s="17"/>
      <c r="N29" s="17"/>
    </row>
    <row r="30" spans="1:14" x14ac:dyDescent="0.55000000000000004">
      <c r="A30" t="s">
        <v>67</v>
      </c>
      <c r="B30" s="50" t="s">
        <v>412</v>
      </c>
      <c r="C30" s="51" t="s">
        <v>413</v>
      </c>
      <c r="D30" s="51" t="s">
        <v>414</v>
      </c>
      <c r="E30" s="51" t="s">
        <v>415</v>
      </c>
      <c r="F30" s="52" t="s">
        <v>416</v>
      </c>
      <c r="G30" s="17"/>
      <c r="H30" s="17"/>
      <c r="I30" s="17"/>
      <c r="J30" s="17"/>
      <c r="K30" s="17"/>
      <c r="L30" s="17"/>
      <c r="M30" s="17"/>
      <c r="N30" s="17"/>
    </row>
    <row r="31" spans="1:14" ht="24.75" thickBot="1" x14ac:dyDescent="0.6">
      <c r="A31" s="20" t="s">
        <v>68</v>
      </c>
      <c r="B31" s="56" t="s">
        <v>412</v>
      </c>
      <c r="C31" s="57" t="s">
        <v>413</v>
      </c>
      <c r="D31" s="57" t="s">
        <v>414</v>
      </c>
      <c r="E31" s="57" t="s">
        <v>415</v>
      </c>
      <c r="F31" s="58" t="s">
        <v>416</v>
      </c>
      <c r="G31" s="18">
        <f>+(C31-B31)/B31</f>
        <v>0.27920708561788277</v>
      </c>
      <c r="H31" s="18">
        <f t="shared" ref="H31" si="3">+(D31-C31)/C31</f>
        <v>2.3211341905703922</v>
      </c>
      <c r="I31" s="18">
        <f t="shared" ref="I31" si="4">+(E31-D31)/D31</f>
        <v>0.15040206492603991</v>
      </c>
      <c r="J31" s="18">
        <f>+(F31-E31)/E31</f>
        <v>0.84078356920952713</v>
      </c>
      <c r="K31" s="17"/>
      <c r="L31" s="17"/>
      <c r="M31" s="17"/>
      <c r="N31" s="17"/>
    </row>
    <row r="33" spans="1:10" x14ac:dyDescent="0.55000000000000004">
      <c r="A33" s="12" t="s">
        <v>37</v>
      </c>
    </row>
    <row r="34" spans="1:10" ht="24.75" thickBot="1" x14ac:dyDescent="0.6">
      <c r="A34" s="16" t="str">
        <f>+A5</f>
        <v>EMPRESA EJEMPLO</v>
      </c>
    </row>
    <row r="35" spans="1:10" x14ac:dyDescent="0.55000000000000004">
      <c r="A35" s="19" t="s">
        <v>71</v>
      </c>
      <c r="B35" s="47" t="s">
        <v>190</v>
      </c>
      <c r="C35" s="48" t="s">
        <v>191</v>
      </c>
      <c r="D35" s="48" t="s">
        <v>192</v>
      </c>
      <c r="E35" s="48" t="s">
        <v>193</v>
      </c>
      <c r="F35" s="49" t="s">
        <v>194</v>
      </c>
      <c r="G35" s="18">
        <f>+(C35-B35)/B35</f>
        <v>0.57442267571521066</v>
      </c>
      <c r="H35" s="18">
        <f t="shared" ref="H35" si="5">+(D35-C35)/C35</f>
        <v>0.23865661411925976</v>
      </c>
      <c r="I35" s="18">
        <f t="shared" ref="I35" si="6">+(E35-D35)/D35</f>
        <v>0.3848802321577886</v>
      </c>
      <c r="J35" s="18">
        <f>+(F35-E35)/E35</f>
        <v>0.4259616067623242</v>
      </c>
    </row>
    <row r="36" spans="1:10" x14ac:dyDescent="0.55000000000000004">
      <c r="A36" s="22" t="s">
        <v>72</v>
      </c>
      <c r="B36" s="50" t="s">
        <v>195</v>
      </c>
      <c r="C36" s="51" t="s">
        <v>196</v>
      </c>
      <c r="D36" s="51" t="s">
        <v>197</v>
      </c>
      <c r="E36" s="51" t="s">
        <v>198</v>
      </c>
      <c r="F36" s="52" t="s">
        <v>199</v>
      </c>
    </row>
    <row r="37" spans="1:10" x14ac:dyDescent="0.55000000000000004">
      <c r="A37" t="s">
        <v>73</v>
      </c>
      <c r="B37" s="50" t="s">
        <v>200</v>
      </c>
      <c r="C37" s="51" t="s">
        <v>201</v>
      </c>
      <c r="D37" s="51" t="s">
        <v>202</v>
      </c>
      <c r="E37" s="51" t="s">
        <v>203</v>
      </c>
      <c r="F37" s="52" t="s">
        <v>204</v>
      </c>
    </row>
    <row r="38" spans="1:10" x14ac:dyDescent="0.55000000000000004">
      <c r="A38" t="s">
        <v>74</v>
      </c>
      <c r="B38" s="50" t="s">
        <v>205</v>
      </c>
      <c r="C38" s="51" t="s">
        <v>206</v>
      </c>
      <c r="D38" s="51" t="s">
        <v>207</v>
      </c>
      <c r="E38" s="51" t="s">
        <v>208</v>
      </c>
      <c r="F38" s="52" t="s">
        <v>209</v>
      </c>
    </row>
    <row r="39" spans="1:10" x14ac:dyDescent="0.55000000000000004">
      <c r="A39" t="s">
        <v>75</v>
      </c>
      <c r="B39" s="50" t="s">
        <v>210</v>
      </c>
      <c r="C39" s="51" t="s">
        <v>211</v>
      </c>
      <c r="D39" s="51" t="s">
        <v>212</v>
      </c>
      <c r="E39" s="51" t="s">
        <v>213</v>
      </c>
      <c r="F39" s="52" t="s">
        <v>214</v>
      </c>
    </row>
    <row r="40" spans="1:10" x14ac:dyDescent="0.55000000000000004">
      <c r="A40" t="s">
        <v>76</v>
      </c>
      <c r="B40" s="50" t="s">
        <v>215</v>
      </c>
      <c r="C40" s="51" t="s">
        <v>216</v>
      </c>
      <c r="D40" s="51" t="s">
        <v>217</v>
      </c>
      <c r="E40" s="51" t="s">
        <v>218</v>
      </c>
      <c r="F40" s="52" t="s">
        <v>219</v>
      </c>
    </row>
    <row r="41" spans="1:10" x14ac:dyDescent="0.55000000000000004">
      <c r="A41" t="s">
        <v>77</v>
      </c>
      <c r="B41" s="50" t="s">
        <v>215</v>
      </c>
      <c r="C41" s="51" t="s">
        <v>216</v>
      </c>
      <c r="D41" s="51" t="s">
        <v>217</v>
      </c>
      <c r="E41" s="51" t="s">
        <v>218</v>
      </c>
      <c r="F41" s="52" t="s">
        <v>219</v>
      </c>
    </row>
    <row r="42" spans="1:10" x14ac:dyDescent="0.55000000000000004">
      <c r="A42" t="s">
        <v>78</v>
      </c>
      <c r="B42" s="50" t="s">
        <v>220</v>
      </c>
      <c r="C42" s="51" t="s">
        <v>221</v>
      </c>
      <c r="D42" s="51" t="s">
        <v>222</v>
      </c>
      <c r="E42" s="51" t="s">
        <v>223</v>
      </c>
      <c r="F42" s="52" t="s">
        <v>224</v>
      </c>
    </row>
    <row r="43" spans="1:10" x14ac:dyDescent="0.55000000000000004">
      <c r="A43" t="s">
        <v>79</v>
      </c>
      <c r="B43" s="50" t="s">
        <v>220</v>
      </c>
      <c r="C43" s="51" t="s">
        <v>221</v>
      </c>
      <c r="D43" s="51" t="s">
        <v>222</v>
      </c>
      <c r="E43" s="51" t="s">
        <v>223</v>
      </c>
      <c r="F43" s="52" t="s">
        <v>224</v>
      </c>
    </row>
    <row r="44" spans="1:10" x14ac:dyDescent="0.55000000000000004">
      <c r="A44" t="s">
        <v>80</v>
      </c>
      <c r="B44" s="50" t="s">
        <v>225</v>
      </c>
      <c r="C44" s="51" t="s">
        <v>226</v>
      </c>
      <c r="D44" s="51" t="s">
        <v>227</v>
      </c>
      <c r="E44" s="51" t="s">
        <v>228</v>
      </c>
      <c r="F44" s="52" t="s">
        <v>229</v>
      </c>
    </row>
    <row r="45" spans="1:10" x14ac:dyDescent="0.55000000000000004">
      <c r="A45" t="s">
        <v>81</v>
      </c>
      <c r="B45" s="50" t="s">
        <v>230</v>
      </c>
      <c r="C45" s="51" t="s">
        <v>231</v>
      </c>
      <c r="D45" s="51" t="s">
        <v>232</v>
      </c>
      <c r="E45" s="51" t="s">
        <v>233</v>
      </c>
      <c r="F45" s="52" t="s">
        <v>234</v>
      </c>
    </row>
    <row r="46" spans="1:10" x14ac:dyDescent="0.55000000000000004">
      <c r="A46" t="s">
        <v>82</v>
      </c>
      <c r="B46" s="53" t="s">
        <v>235</v>
      </c>
      <c r="C46" s="54" t="s">
        <v>235</v>
      </c>
      <c r="D46" s="54" t="s">
        <v>235</v>
      </c>
      <c r="E46" s="54" t="s">
        <v>235</v>
      </c>
      <c r="F46" s="55" t="s">
        <v>235</v>
      </c>
    </row>
    <row r="47" spans="1:10" x14ac:dyDescent="0.55000000000000004">
      <c r="A47" t="s">
        <v>83</v>
      </c>
      <c r="B47" s="53" t="s">
        <v>235</v>
      </c>
      <c r="C47" s="54" t="s">
        <v>235</v>
      </c>
      <c r="D47" s="54" t="s">
        <v>235</v>
      </c>
      <c r="E47" s="54" t="s">
        <v>235</v>
      </c>
      <c r="F47" s="55" t="s">
        <v>235</v>
      </c>
    </row>
    <row r="48" spans="1:10" x14ac:dyDescent="0.55000000000000004">
      <c r="A48" s="22" t="s">
        <v>84</v>
      </c>
      <c r="B48" s="50" t="s">
        <v>236</v>
      </c>
      <c r="C48" s="51" t="s">
        <v>237</v>
      </c>
      <c r="D48" s="51" t="s">
        <v>238</v>
      </c>
      <c r="E48" s="51" t="s">
        <v>239</v>
      </c>
      <c r="F48" s="52" t="s">
        <v>240</v>
      </c>
    </row>
    <row r="49" spans="1:6" x14ac:dyDescent="0.55000000000000004">
      <c r="A49" t="s">
        <v>85</v>
      </c>
      <c r="B49" s="50" t="s">
        <v>241</v>
      </c>
      <c r="C49" s="51" t="s">
        <v>242</v>
      </c>
      <c r="D49" s="51" t="s">
        <v>243</v>
      </c>
      <c r="E49" s="51" t="s">
        <v>244</v>
      </c>
      <c r="F49" s="52" t="s">
        <v>245</v>
      </c>
    </row>
    <row r="50" spans="1:6" x14ac:dyDescent="0.55000000000000004">
      <c r="A50" t="s">
        <v>86</v>
      </c>
      <c r="B50" s="50" t="s">
        <v>246</v>
      </c>
      <c r="C50" s="51" t="s">
        <v>247</v>
      </c>
      <c r="D50" s="51" t="s">
        <v>248</v>
      </c>
      <c r="E50" s="51" t="s">
        <v>249</v>
      </c>
      <c r="F50" s="52" t="s">
        <v>250</v>
      </c>
    </row>
    <row r="51" spans="1:6" x14ac:dyDescent="0.55000000000000004">
      <c r="A51" t="s">
        <v>87</v>
      </c>
      <c r="B51" s="50" t="s">
        <v>251</v>
      </c>
      <c r="C51" s="51" t="s">
        <v>252</v>
      </c>
      <c r="D51" s="51" t="s">
        <v>253</v>
      </c>
      <c r="E51" s="51" t="s">
        <v>254</v>
      </c>
      <c r="F51" s="52" t="s">
        <v>255</v>
      </c>
    </row>
    <row r="52" spans="1:6" x14ac:dyDescent="0.55000000000000004">
      <c r="A52" t="s">
        <v>88</v>
      </c>
      <c r="B52" s="50" t="s">
        <v>251</v>
      </c>
      <c r="C52" s="51" t="s">
        <v>252</v>
      </c>
      <c r="D52" s="51" t="s">
        <v>253</v>
      </c>
      <c r="E52" s="51" t="s">
        <v>254</v>
      </c>
      <c r="F52" s="52" t="s">
        <v>255</v>
      </c>
    </row>
    <row r="53" spans="1:6" x14ac:dyDescent="0.55000000000000004">
      <c r="A53" t="s">
        <v>89</v>
      </c>
      <c r="B53" s="50" t="s">
        <v>256</v>
      </c>
      <c r="C53" s="51" t="s">
        <v>257</v>
      </c>
      <c r="D53" s="51" t="s">
        <v>258</v>
      </c>
      <c r="E53" s="51" t="s">
        <v>259</v>
      </c>
      <c r="F53" s="52" t="s">
        <v>260</v>
      </c>
    </row>
    <row r="54" spans="1:6" x14ac:dyDescent="0.55000000000000004">
      <c r="A54" t="s">
        <v>90</v>
      </c>
      <c r="B54" s="50" t="s">
        <v>256</v>
      </c>
      <c r="C54" s="51" t="s">
        <v>257</v>
      </c>
      <c r="D54" s="51" t="s">
        <v>258</v>
      </c>
      <c r="E54" s="51" t="s">
        <v>259</v>
      </c>
      <c r="F54" s="52" t="s">
        <v>260</v>
      </c>
    </row>
    <row r="55" spans="1:6" x14ac:dyDescent="0.55000000000000004">
      <c r="A55" t="s">
        <v>91</v>
      </c>
      <c r="B55" s="50" t="s">
        <v>261</v>
      </c>
      <c r="C55" s="51" t="s">
        <v>262</v>
      </c>
      <c r="D55" s="51" t="s">
        <v>263</v>
      </c>
      <c r="E55" s="51" t="s">
        <v>264</v>
      </c>
      <c r="F55" s="52" t="s">
        <v>265</v>
      </c>
    </row>
    <row r="56" spans="1:6" x14ac:dyDescent="0.55000000000000004">
      <c r="A56" t="s">
        <v>92</v>
      </c>
      <c r="B56" s="53" t="s">
        <v>235</v>
      </c>
      <c r="C56" s="54" t="s">
        <v>235</v>
      </c>
      <c r="D56" s="54" t="s">
        <v>235</v>
      </c>
      <c r="E56" s="51" t="s">
        <v>266</v>
      </c>
      <c r="F56" s="52" t="s">
        <v>267</v>
      </c>
    </row>
    <row r="57" spans="1:6" x14ac:dyDescent="0.55000000000000004">
      <c r="A57" t="s">
        <v>93</v>
      </c>
      <c r="B57" s="50" t="s">
        <v>268</v>
      </c>
      <c r="C57" s="51" t="s">
        <v>269</v>
      </c>
      <c r="D57" s="51" t="s">
        <v>270</v>
      </c>
      <c r="E57" s="51" t="s">
        <v>271</v>
      </c>
      <c r="F57" s="52" t="s">
        <v>272</v>
      </c>
    </row>
    <row r="58" spans="1:6" x14ac:dyDescent="0.55000000000000004">
      <c r="A58" t="s">
        <v>94</v>
      </c>
      <c r="B58" s="50" t="s">
        <v>273</v>
      </c>
      <c r="C58" s="51" t="s">
        <v>274</v>
      </c>
      <c r="D58" s="51" t="s">
        <v>275</v>
      </c>
      <c r="E58" s="51" t="s">
        <v>276</v>
      </c>
      <c r="F58" s="52" t="s">
        <v>277</v>
      </c>
    </row>
    <row r="59" spans="1:6" x14ac:dyDescent="0.55000000000000004">
      <c r="A59" t="s">
        <v>95</v>
      </c>
      <c r="B59" s="50" t="s">
        <v>273</v>
      </c>
      <c r="C59" s="51" t="s">
        <v>274</v>
      </c>
      <c r="D59" s="51" t="s">
        <v>275</v>
      </c>
      <c r="E59" s="51" t="s">
        <v>276</v>
      </c>
      <c r="F59" s="52" t="s">
        <v>277</v>
      </c>
    </row>
    <row r="60" spans="1:6" x14ac:dyDescent="0.55000000000000004">
      <c r="A60" s="22" t="s">
        <v>96</v>
      </c>
      <c r="B60" s="50" t="s">
        <v>278</v>
      </c>
      <c r="C60" s="51" t="s">
        <v>279</v>
      </c>
      <c r="D60" s="51" t="s">
        <v>280</v>
      </c>
      <c r="E60" s="51" t="s">
        <v>281</v>
      </c>
      <c r="F60" s="52" t="s">
        <v>282</v>
      </c>
    </row>
    <row r="61" spans="1:6" x14ac:dyDescent="0.55000000000000004">
      <c r="A61" t="s">
        <v>97</v>
      </c>
      <c r="B61" s="50" t="s">
        <v>283</v>
      </c>
      <c r="C61" s="51" t="s">
        <v>284</v>
      </c>
      <c r="D61" s="51" t="s">
        <v>285</v>
      </c>
      <c r="E61" s="51" t="s">
        <v>286</v>
      </c>
      <c r="F61" s="52" t="s">
        <v>287</v>
      </c>
    </row>
    <row r="62" spans="1:6" x14ac:dyDescent="0.55000000000000004">
      <c r="A62" t="s">
        <v>98</v>
      </c>
      <c r="B62" s="50" t="s">
        <v>288</v>
      </c>
      <c r="C62" s="51" t="s">
        <v>289</v>
      </c>
      <c r="D62" s="51" t="s">
        <v>290</v>
      </c>
      <c r="E62" s="51" t="s">
        <v>291</v>
      </c>
      <c r="F62" s="52" t="s">
        <v>292</v>
      </c>
    </row>
    <row r="63" spans="1:6" x14ac:dyDescent="0.55000000000000004">
      <c r="A63" t="s">
        <v>99</v>
      </c>
      <c r="B63" s="50" t="s">
        <v>293</v>
      </c>
      <c r="C63" s="51" t="s">
        <v>294</v>
      </c>
      <c r="D63" s="51" t="s">
        <v>295</v>
      </c>
      <c r="E63" s="51" t="s">
        <v>296</v>
      </c>
      <c r="F63" s="52" t="s">
        <v>297</v>
      </c>
    </row>
    <row r="64" spans="1:6" x14ac:dyDescent="0.55000000000000004">
      <c r="A64" t="s">
        <v>100</v>
      </c>
      <c r="B64" s="53" t="s">
        <v>235</v>
      </c>
      <c r="C64" s="54" t="s">
        <v>235</v>
      </c>
      <c r="D64" s="54" t="s">
        <v>235</v>
      </c>
      <c r="E64" s="54" t="s">
        <v>235</v>
      </c>
      <c r="F64" s="52" t="s">
        <v>298</v>
      </c>
    </row>
    <row r="65" spans="1:10" x14ac:dyDescent="0.55000000000000004">
      <c r="A65" t="s">
        <v>101</v>
      </c>
      <c r="B65" s="50" t="s">
        <v>299</v>
      </c>
      <c r="C65" s="51" t="s">
        <v>300</v>
      </c>
      <c r="D65" s="51" t="s">
        <v>301</v>
      </c>
      <c r="E65" s="51" t="s">
        <v>302</v>
      </c>
      <c r="F65" s="52" t="s">
        <v>303</v>
      </c>
    </row>
    <row r="66" spans="1:10" x14ac:dyDescent="0.55000000000000004">
      <c r="A66" t="s">
        <v>102</v>
      </c>
      <c r="B66" s="50" t="s">
        <v>304</v>
      </c>
      <c r="C66" s="51" t="s">
        <v>305</v>
      </c>
      <c r="D66" s="51" t="s">
        <v>306</v>
      </c>
      <c r="E66" s="51" t="s">
        <v>307</v>
      </c>
      <c r="F66" s="52" t="s">
        <v>308</v>
      </c>
    </row>
    <row r="67" spans="1:10" x14ac:dyDescent="0.55000000000000004">
      <c r="A67" t="s">
        <v>103</v>
      </c>
      <c r="B67" s="50" t="s">
        <v>309</v>
      </c>
      <c r="C67" s="51" t="s">
        <v>310</v>
      </c>
      <c r="D67" s="51" t="s">
        <v>311</v>
      </c>
      <c r="E67" s="51" t="s">
        <v>312</v>
      </c>
      <c r="F67" s="52" t="s">
        <v>313</v>
      </c>
    </row>
    <row r="68" spans="1:10" x14ac:dyDescent="0.55000000000000004">
      <c r="A68" t="s">
        <v>104</v>
      </c>
      <c r="B68" s="50" t="s">
        <v>314</v>
      </c>
      <c r="C68" s="51" t="s">
        <v>315</v>
      </c>
      <c r="D68" s="51" t="s">
        <v>316</v>
      </c>
      <c r="E68" s="51" t="s">
        <v>317</v>
      </c>
      <c r="F68" s="52" t="s">
        <v>318</v>
      </c>
    </row>
    <row r="69" spans="1:10" x14ac:dyDescent="0.55000000000000004">
      <c r="A69" t="s">
        <v>105</v>
      </c>
      <c r="B69" s="50" t="s">
        <v>314</v>
      </c>
      <c r="C69" s="51" t="s">
        <v>315</v>
      </c>
      <c r="D69" s="51" t="s">
        <v>316</v>
      </c>
      <c r="E69" s="51" t="s">
        <v>317</v>
      </c>
      <c r="F69" s="52" t="s">
        <v>318</v>
      </c>
    </row>
    <row r="70" spans="1:10" x14ac:dyDescent="0.55000000000000004">
      <c r="A70" t="s">
        <v>106</v>
      </c>
      <c r="B70" s="50" t="s">
        <v>314</v>
      </c>
      <c r="C70" s="51" t="s">
        <v>315</v>
      </c>
      <c r="D70" s="51" t="s">
        <v>316</v>
      </c>
      <c r="E70" s="51" t="s">
        <v>317</v>
      </c>
      <c r="F70" s="52" t="s">
        <v>318</v>
      </c>
    </row>
    <row r="71" spans="1:10" x14ac:dyDescent="0.55000000000000004">
      <c r="A71" t="s">
        <v>107</v>
      </c>
      <c r="B71" s="50" t="s">
        <v>319</v>
      </c>
      <c r="C71" s="51" t="s">
        <v>320</v>
      </c>
      <c r="D71" s="51" t="s">
        <v>321</v>
      </c>
      <c r="E71" s="51" t="s">
        <v>322</v>
      </c>
      <c r="F71" s="52" t="s">
        <v>323</v>
      </c>
    </row>
    <row r="72" spans="1:10" x14ac:dyDescent="0.55000000000000004">
      <c r="A72" t="s">
        <v>108</v>
      </c>
      <c r="B72" s="50" t="s">
        <v>324</v>
      </c>
      <c r="C72" s="51" t="s">
        <v>325</v>
      </c>
      <c r="D72" s="51" t="s">
        <v>326</v>
      </c>
      <c r="E72" s="51" t="s">
        <v>327</v>
      </c>
      <c r="F72" s="52" t="s">
        <v>328</v>
      </c>
    </row>
    <row r="73" spans="1:10" x14ac:dyDescent="0.55000000000000004">
      <c r="A73" t="s">
        <v>109</v>
      </c>
      <c r="B73" s="50" t="s">
        <v>329</v>
      </c>
      <c r="C73" s="51" t="s">
        <v>330</v>
      </c>
      <c r="D73" s="51" t="s">
        <v>331</v>
      </c>
      <c r="E73" s="51" t="s">
        <v>332</v>
      </c>
      <c r="F73" s="52" t="s">
        <v>333</v>
      </c>
    </row>
    <row r="74" spans="1:10" x14ac:dyDescent="0.55000000000000004">
      <c r="A74" t="s">
        <v>110</v>
      </c>
      <c r="B74" s="50" t="s">
        <v>334</v>
      </c>
      <c r="C74" s="51" t="s">
        <v>335</v>
      </c>
      <c r="D74" s="51" t="s">
        <v>336</v>
      </c>
      <c r="E74" s="51" t="s">
        <v>337</v>
      </c>
      <c r="F74" s="52" t="s">
        <v>338</v>
      </c>
    </row>
    <row r="75" spans="1:10" x14ac:dyDescent="0.55000000000000004">
      <c r="A75" t="s">
        <v>111</v>
      </c>
      <c r="B75" s="53" t="s">
        <v>235</v>
      </c>
      <c r="C75" s="54" t="s">
        <v>235</v>
      </c>
      <c r="D75" s="54" t="s">
        <v>235</v>
      </c>
      <c r="E75" s="54" t="s">
        <v>235</v>
      </c>
      <c r="F75" s="55" t="s">
        <v>235</v>
      </c>
    </row>
    <row r="76" spans="1:10" x14ac:dyDescent="0.55000000000000004">
      <c r="A76" t="s">
        <v>112</v>
      </c>
      <c r="B76" s="53" t="s">
        <v>235</v>
      </c>
      <c r="C76" s="54" t="s">
        <v>235</v>
      </c>
      <c r="D76" s="54" t="s">
        <v>235</v>
      </c>
      <c r="E76" s="54" t="s">
        <v>235</v>
      </c>
      <c r="F76" s="55" t="s">
        <v>235</v>
      </c>
    </row>
    <row r="77" spans="1:10" x14ac:dyDescent="0.55000000000000004">
      <c r="A77" s="19" t="s">
        <v>113</v>
      </c>
      <c r="B77" s="50" t="s">
        <v>339</v>
      </c>
      <c r="C77" s="51" t="s">
        <v>340</v>
      </c>
      <c r="D77" s="51" t="s">
        <v>341</v>
      </c>
      <c r="E77" s="51" t="s">
        <v>342</v>
      </c>
      <c r="F77" s="52" t="s">
        <v>343</v>
      </c>
      <c r="G77" s="18">
        <f>+(C77-B77)/B77</f>
        <v>0.61581171920083599</v>
      </c>
      <c r="H77" s="18">
        <f t="shared" ref="H77" si="7">+(D77-C77)/C77</f>
        <v>0.14959315064526404</v>
      </c>
      <c r="I77" s="18">
        <f t="shared" ref="I77" si="8">+(E77-D77)/D77</f>
        <v>0.37018782693389535</v>
      </c>
      <c r="J77" s="18">
        <f>+(F77-E77)/E77</f>
        <v>0.39588082457043411</v>
      </c>
    </row>
    <row r="78" spans="1:10" x14ac:dyDescent="0.55000000000000004">
      <c r="A78" s="22" t="s">
        <v>114</v>
      </c>
      <c r="B78" s="50" t="s">
        <v>344</v>
      </c>
      <c r="C78" s="51" t="s">
        <v>345</v>
      </c>
      <c r="D78" s="51" t="s">
        <v>346</v>
      </c>
      <c r="E78" s="51" t="s">
        <v>347</v>
      </c>
      <c r="F78" s="52" t="s">
        <v>348</v>
      </c>
    </row>
    <row r="79" spans="1:10" x14ac:dyDescent="0.55000000000000004">
      <c r="A79" t="s">
        <v>115</v>
      </c>
      <c r="B79" s="50" t="s">
        <v>349</v>
      </c>
      <c r="C79" s="51" t="s">
        <v>350</v>
      </c>
      <c r="D79" s="51" t="s">
        <v>351</v>
      </c>
      <c r="E79" s="51" t="s">
        <v>352</v>
      </c>
      <c r="F79" s="52" t="s">
        <v>353</v>
      </c>
    </row>
    <row r="80" spans="1:10" x14ac:dyDescent="0.55000000000000004">
      <c r="A80" t="s">
        <v>116</v>
      </c>
      <c r="B80" s="50" t="s">
        <v>354</v>
      </c>
      <c r="C80" s="51" t="s">
        <v>355</v>
      </c>
      <c r="D80" s="51" t="s">
        <v>356</v>
      </c>
      <c r="E80" s="51" t="s">
        <v>357</v>
      </c>
      <c r="F80" s="52" t="s">
        <v>358</v>
      </c>
    </row>
    <row r="81" spans="1:10" x14ac:dyDescent="0.55000000000000004">
      <c r="A81" t="s">
        <v>117</v>
      </c>
      <c r="B81" s="50" t="s">
        <v>354</v>
      </c>
      <c r="C81" s="51" t="s">
        <v>355</v>
      </c>
      <c r="D81" s="51" t="s">
        <v>356</v>
      </c>
      <c r="E81" s="51" t="s">
        <v>357</v>
      </c>
      <c r="F81" s="52" t="s">
        <v>358</v>
      </c>
    </row>
    <row r="82" spans="1:10" x14ac:dyDescent="0.55000000000000004">
      <c r="A82" t="s">
        <v>118</v>
      </c>
      <c r="B82" s="50" t="s">
        <v>359</v>
      </c>
      <c r="C82" s="51" t="s">
        <v>360</v>
      </c>
      <c r="D82" s="51" t="s">
        <v>361</v>
      </c>
      <c r="E82" s="51" t="s">
        <v>362</v>
      </c>
      <c r="F82" s="52" t="s">
        <v>363</v>
      </c>
    </row>
    <row r="83" spans="1:10" x14ac:dyDescent="0.55000000000000004">
      <c r="A83" t="s">
        <v>119</v>
      </c>
      <c r="B83" s="50" t="s">
        <v>364</v>
      </c>
      <c r="C83" s="51" t="s">
        <v>365</v>
      </c>
      <c r="D83" s="51" t="s">
        <v>366</v>
      </c>
      <c r="E83" s="51" t="s">
        <v>367</v>
      </c>
      <c r="F83" s="52" t="s">
        <v>368</v>
      </c>
    </row>
    <row r="84" spans="1:10" x14ac:dyDescent="0.55000000000000004">
      <c r="A84" t="s">
        <v>120</v>
      </c>
      <c r="B84" s="50" t="s">
        <v>364</v>
      </c>
      <c r="C84" s="51" t="s">
        <v>365</v>
      </c>
      <c r="D84" s="51" t="s">
        <v>366</v>
      </c>
      <c r="E84" s="51" t="s">
        <v>367</v>
      </c>
      <c r="F84" s="52" t="s">
        <v>368</v>
      </c>
    </row>
    <row r="85" spans="1:10" x14ac:dyDescent="0.55000000000000004">
      <c r="A85" s="22" t="s">
        <v>121</v>
      </c>
      <c r="B85" s="50" t="s">
        <v>369</v>
      </c>
      <c r="C85" s="51" t="s">
        <v>370</v>
      </c>
      <c r="D85" s="51" t="s">
        <v>371</v>
      </c>
      <c r="E85" s="51" t="s">
        <v>372</v>
      </c>
      <c r="F85" s="52" t="s">
        <v>373</v>
      </c>
    </row>
    <row r="86" spans="1:10" x14ac:dyDescent="0.55000000000000004">
      <c r="A86" t="s">
        <v>122</v>
      </c>
      <c r="B86" s="50" t="s">
        <v>374</v>
      </c>
      <c r="C86" s="51" t="s">
        <v>375</v>
      </c>
      <c r="D86" s="51" t="s">
        <v>376</v>
      </c>
      <c r="E86" s="51" t="s">
        <v>377</v>
      </c>
      <c r="F86" s="52" t="s">
        <v>378</v>
      </c>
    </row>
    <row r="87" spans="1:10" x14ac:dyDescent="0.55000000000000004">
      <c r="A87" t="s">
        <v>123</v>
      </c>
      <c r="B87" s="50" t="s">
        <v>374</v>
      </c>
      <c r="C87" s="51" t="s">
        <v>375</v>
      </c>
      <c r="D87" s="51" t="s">
        <v>376</v>
      </c>
      <c r="E87" s="51" t="s">
        <v>377</v>
      </c>
      <c r="F87" s="52" t="s">
        <v>378</v>
      </c>
    </row>
    <row r="88" spans="1:10" x14ac:dyDescent="0.55000000000000004">
      <c r="A88" t="s">
        <v>124</v>
      </c>
      <c r="B88" s="50" t="s">
        <v>379</v>
      </c>
      <c r="C88" s="51" t="s">
        <v>380</v>
      </c>
      <c r="D88" s="51" t="s">
        <v>381</v>
      </c>
      <c r="E88" s="51" t="s">
        <v>382</v>
      </c>
      <c r="F88" s="52" t="s">
        <v>383</v>
      </c>
    </row>
    <row r="89" spans="1:10" x14ac:dyDescent="0.55000000000000004">
      <c r="A89" t="s">
        <v>125</v>
      </c>
      <c r="B89" s="50" t="s">
        <v>384</v>
      </c>
      <c r="C89" s="51" t="s">
        <v>385</v>
      </c>
      <c r="D89" s="51" t="s">
        <v>386</v>
      </c>
      <c r="E89" s="51" t="s">
        <v>387</v>
      </c>
      <c r="F89" s="52" t="s">
        <v>388</v>
      </c>
    </row>
    <row r="90" spans="1:10" x14ac:dyDescent="0.55000000000000004">
      <c r="A90" s="22" t="s">
        <v>126</v>
      </c>
      <c r="B90" s="50" t="s">
        <v>389</v>
      </c>
      <c r="C90" s="51" t="s">
        <v>390</v>
      </c>
      <c r="D90" s="51" t="s">
        <v>391</v>
      </c>
      <c r="E90" s="51" t="s">
        <v>392</v>
      </c>
      <c r="F90" s="52" t="s">
        <v>393</v>
      </c>
    </row>
    <row r="91" spans="1:10" x14ac:dyDescent="0.55000000000000004">
      <c r="A91" t="s">
        <v>127</v>
      </c>
      <c r="B91" s="50" t="s">
        <v>394</v>
      </c>
      <c r="C91" s="51" t="s">
        <v>395</v>
      </c>
      <c r="D91" s="51" t="s">
        <v>396</v>
      </c>
      <c r="E91" s="54" t="s">
        <v>235</v>
      </c>
      <c r="F91" s="55" t="s">
        <v>235</v>
      </c>
      <c r="G91" s="36"/>
    </row>
    <row r="92" spans="1:10" x14ac:dyDescent="0.55000000000000004">
      <c r="A92" t="s">
        <v>128</v>
      </c>
      <c r="B92" s="50" t="s">
        <v>397</v>
      </c>
      <c r="C92" s="51" t="s">
        <v>398</v>
      </c>
      <c r="D92" s="51" t="s">
        <v>399</v>
      </c>
      <c r="E92" s="54" t="s">
        <v>235</v>
      </c>
      <c r="F92" s="55" t="s">
        <v>235</v>
      </c>
    </row>
    <row r="93" spans="1:10" x14ac:dyDescent="0.55000000000000004">
      <c r="A93" t="s">
        <v>129</v>
      </c>
      <c r="B93" s="50" t="s">
        <v>400</v>
      </c>
      <c r="C93" s="51" t="s">
        <v>401</v>
      </c>
      <c r="D93" s="51" t="s">
        <v>309</v>
      </c>
      <c r="E93" s="54" t="s">
        <v>235</v>
      </c>
      <c r="F93" s="55" t="s">
        <v>235</v>
      </c>
    </row>
    <row r="94" spans="1:10" x14ac:dyDescent="0.55000000000000004">
      <c r="A94" s="19" t="s">
        <v>130</v>
      </c>
      <c r="B94" s="50" t="s">
        <v>402</v>
      </c>
      <c r="C94" s="51" t="s">
        <v>403</v>
      </c>
      <c r="D94" s="51" t="s">
        <v>404</v>
      </c>
      <c r="E94" s="51" t="s">
        <v>405</v>
      </c>
      <c r="F94" s="52" t="s">
        <v>406</v>
      </c>
      <c r="G94" s="18">
        <f>+(C94-B94)/B94</f>
        <v>0.43681617837697695</v>
      </c>
      <c r="H94" s="18">
        <f t="shared" ref="H94" si="9">+(D94-C94)/C94</f>
        <v>0.57165541881699089</v>
      </c>
      <c r="I94" s="18">
        <f t="shared" ref="I94" si="10">+(E94-D94)/D94</f>
        <v>0.42506142506142508</v>
      </c>
      <c r="J94" s="18">
        <f>+(F94-E94)/E94</f>
        <v>0.50505961972284885</v>
      </c>
    </row>
    <row r="95" spans="1:10" ht="24.75" thickBot="1" x14ac:dyDescent="0.6">
      <c r="A95" t="s">
        <v>131</v>
      </c>
      <c r="B95" s="56" t="s">
        <v>402</v>
      </c>
      <c r="C95" s="57" t="s">
        <v>403</v>
      </c>
      <c r="D95" s="57" t="s">
        <v>404</v>
      </c>
      <c r="E95" s="57" t="s">
        <v>405</v>
      </c>
      <c r="F95" s="58" t="s">
        <v>406</v>
      </c>
    </row>
    <row r="96" spans="1:10" ht="24.75" thickBot="1" x14ac:dyDescent="0.6"/>
    <row r="97" spans="1:12" x14ac:dyDescent="0.55000000000000004">
      <c r="G97" s="100" t="s">
        <v>132</v>
      </c>
      <c r="H97" s="101"/>
      <c r="I97" s="101"/>
      <c r="J97" s="101"/>
      <c r="K97" s="102"/>
    </row>
    <row r="98" spans="1:12" x14ac:dyDescent="0.55000000000000004">
      <c r="F98" s="15" t="s">
        <v>133</v>
      </c>
      <c r="G98" s="37">
        <f>+B36-B78</f>
        <v>1965000000</v>
      </c>
      <c r="H98" s="38">
        <f t="shared" ref="H98:K98" si="11">+C36-C78</f>
        <v>2314000000</v>
      </c>
      <c r="I98" s="38">
        <f t="shared" si="11"/>
        <v>6710000000</v>
      </c>
      <c r="J98" s="38">
        <f t="shared" si="11"/>
        <v>8522000000</v>
      </c>
      <c r="K98" s="39">
        <f t="shared" si="11"/>
        <v>6348000000</v>
      </c>
      <c r="L98" s="13"/>
    </row>
    <row r="99" spans="1:12" x14ac:dyDescent="0.55000000000000004">
      <c r="F99" s="15" t="s">
        <v>134</v>
      </c>
      <c r="G99" s="40">
        <f>+B36/B78</f>
        <v>1.0448466313675371</v>
      </c>
      <c r="H99" s="41">
        <f t="shared" ref="H99:K99" si="12">+C36/C78</f>
        <v>1.039977195376881</v>
      </c>
      <c r="I99" s="41">
        <f t="shared" si="12"/>
        <v>1.0981123247210891</v>
      </c>
      <c r="J99" s="41">
        <f t="shared" si="12"/>
        <v>1.0970482394205803</v>
      </c>
      <c r="K99" s="42">
        <f t="shared" si="12"/>
        <v>1.0502274795268425</v>
      </c>
      <c r="L99" s="13" t="s">
        <v>136</v>
      </c>
    </row>
    <row r="100" spans="1:12" ht="24.75" thickBot="1" x14ac:dyDescent="0.6">
      <c r="F100" s="15" t="s">
        <v>135</v>
      </c>
      <c r="G100" s="43">
        <f>+B35/B77</f>
        <v>1.3007782647347816</v>
      </c>
      <c r="H100" s="44">
        <f t="shared" ref="H100:K100" si="13">+C35/C77</f>
        <v>1.267458808312661</v>
      </c>
      <c r="I100" s="44">
        <f t="shared" si="13"/>
        <v>1.3656537838269003</v>
      </c>
      <c r="J100" s="44">
        <f t="shared" si="13"/>
        <v>1.3802975708998211</v>
      </c>
      <c r="K100" s="45">
        <f t="shared" si="13"/>
        <v>1.4100425389940778</v>
      </c>
      <c r="L100" s="13" t="s">
        <v>137</v>
      </c>
    </row>
    <row r="102" spans="1:12" ht="24.75" thickBot="1" x14ac:dyDescent="0.6">
      <c r="A102" s="12" t="s">
        <v>38</v>
      </c>
    </row>
    <row r="103" spans="1:12" x14ac:dyDescent="0.55000000000000004">
      <c r="A103" s="46" t="s">
        <v>138</v>
      </c>
      <c r="B103" s="47" t="s">
        <v>407</v>
      </c>
      <c r="C103" s="48" t="s">
        <v>408</v>
      </c>
      <c r="D103" s="48" t="s">
        <v>409</v>
      </c>
      <c r="E103" s="48" t="s">
        <v>410</v>
      </c>
      <c r="F103" s="49" t="s">
        <v>411</v>
      </c>
      <c r="G103" s="18">
        <f>+(C103-B103)/B103</f>
        <v>0.12108496016541993</v>
      </c>
      <c r="H103" s="18">
        <f t="shared" ref="H103" si="14">+(D103-C103)/C103</f>
        <v>0.66664858413800587</v>
      </c>
      <c r="I103" s="18">
        <f t="shared" ref="I103" si="15">+(E103-D103)/D103</f>
        <v>0.25358851674641147</v>
      </c>
      <c r="J103" s="18">
        <f>+(F103-E103)/E103</f>
        <v>0.71532429765799455</v>
      </c>
    </row>
    <row r="104" spans="1:12" x14ac:dyDescent="0.55000000000000004">
      <c r="A104" t="s">
        <v>139</v>
      </c>
      <c r="B104" s="50" t="s">
        <v>407</v>
      </c>
      <c r="C104" s="51" t="s">
        <v>408</v>
      </c>
      <c r="D104" s="51" t="s">
        <v>409</v>
      </c>
      <c r="E104" s="51" t="s">
        <v>410</v>
      </c>
      <c r="F104" s="52" t="s">
        <v>411</v>
      </c>
      <c r="G104" s="23"/>
    </row>
    <row r="105" spans="1:12" x14ac:dyDescent="0.55000000000000004">
      <c r="A105" t="s">
        <v>140</v>
      </c>
      <c r="B105" s="50" t="s">
        <v>407</v>
      </c>
      <c r="C105" s="51" t="s">
        <v>408</v>
      </c>
      <c r="D105" s="51" t="s">
        <v>409</v>
      </c>
      <c r="E105" s="51" t="s">
        <v>410</v>
      </c>
      <c r="F105" s="52" t="s">
        <v>411</v>
      </c>
      <c r="G105" s="23"/>
    </row>
    <row r="106" spans="1:12" x14ac:dyDescent="0.55000000000000004">
      <c r="A106" t="s">
        <v>141</v>
      </c>
      <c r="B106" s="50" t="s">
        <v>412</v>
      </c>
      <c r="C106" s="51" t="s">
        <v>413</v>
      </c>
      <c r="D106" s="51" t="s">
        <v>414</v>
      </c>
      <c r="E106" s="51" t="s">
        <v>415</v>
      </c>
      <c r="F106" s="52" t="s">
        <v>416</v>
      </c>
      <c r="G106" s="23"/>
    </row>
    <row r="107" spans="1:12" x14ac:dyDescent="0.55000000000000004">
      <c r="A107" t="s">
        <v>142</v>
      </c>
      <c r="B107" s="50" t="s">
        <v>417</v>
      </c>
      <c r="C107" s="51" t="s">
        <v>418</v>
      </c>
      <c r="D107" s="51" t="s">
        <v>419</v>
      </c>
      <c r="E107" s="51" t="s">
        <v>420</v>
      </c>
      <c r="F107" s="52" t="s">
        <v>421</v>
      </c>
      <c r="G107" s="23"/>
    </row>
    <row r="108" spans="1:12" x14ac:dyDescent="0.55000000000000004">
      <c r="A108" t="s">
        <v>143</v>
      </c>
      <c r="B108" s="50" t="s">
        <v>422</v>
      </c>
      <c r="C108" s="51" t="s">
        <v>423</v>
      </c>
      <c r="D108" s="51" t="s">
        <v>424</v>
      </c>
      <c r="E108" s="51" t="s">
        <v>425</v>
      </c>
      <c r="F108" s="52" t="s">
        <v>426</v>
      </c>
      <c r="G108" s="23"/>
    </row>
    <row r="109" spans="1:12" x14ac:dyDescent="0.55000000000000004">
      <c r="A109" t="s">
        <v>144</v>
      </c>
      <c r="B109" s="50" t="s">
        <v>422</v>
      </c>
      <c r="C109" s="51" t="s">
        <v>423</v>
      </c>
      <c r="D109" s="51" t="s">
        <v>424</v>
      </c>
      <c r="E109" s="51" t="s">
        <v>425</v>
      </c>
      <c r="F109" s="52" t="s">
        <v>426</v>
      </c>
      <c r="G109" s="23"/>
    </row>
    <row r="110" spans="1:12" x14ac:dyDescent="0.55000000000000004">
      <c r="A110" t="s">
        <v>145</v>
      </c>
      <c r="B110" s="53" t="s">
        <v>235</v>
      </c>
      <c r="C110" s="54" t="s">
        <v>235</v>
      </c>
      <c r="D110" s="54" t="s">
        <v>235</v>
      </c>
      <c r="E110" s="54" t="s">
        <v>235</v>
      </c>
      <c r="F110" s="55" t="s">
        <v>235</v>
      </c>
      <c r="G110"/>
    </row>
    <row r="111" spans="1:12" x14ac:dyDescent="0.55000000000000004">
      <c r="A111" t="s">
        <v>146</v>
      </c>
      <c r="B111" s="50" t="s">
        <v>427</v>
      </c>
      <c r="C111" s="51" t="s">
        <v>428</v>
      </c>
      <c r="D111" s="51" t="s">
        <v>429</v>
      </c>
      <c r="E111" s="51" t="s">
        <v>430</v>
      </c>
      <c r="F111" s="52" t="s">
        <v>431</v>
      </c>
      <c r="G111" s="23"/>
    </row>
    <row r="112" spans="1:12" x14ac:dyDescent="0.55000000000000004">
      <c r="A112" t="s">
        <v>147</v>
      </c>
      <c r="B112" s="50" t="s">
        <v>432</v>
      </c>
      <c r="C112" s="51" t="s">
        <v>433</v>
      </c>
      <c r="D112" s="51" t="s">
        <v>434</v>
      </c>
      <c r="E112" s="51" t="s">
        <v>435</v>
      </c>
      <c r="F112" s="52" t="s">
        <v>436</v>
      </c>
      <c r="G112" s="23"/>
    </row>
    <row r="113" spans="1:7" x14ac:dyDescent="0.55000000000000004">
      <c r="A113" t="s">
        <v>148</v>
      </c>
      <c r="B113" s="50" t="s">
        <v>437</v>
      </c>
      <c r="C113" s="51" t="s">
        <v>438</v>
      </c>
      <c r="D113" s="51" t="s">
        <v>439</v>
      </c>
      <c r="E113" s="51" t="s">
        <v>440</v>
      </c>
      <c r="F113" s="52" t="s">
        <v>441</v>
      </c>
      <c r="G113" s="23"/>
    </row>
    <row r="114" spans="1:7" x14ac:dyDescent="0.55000000000000004">
      <c r="A114" t="s">
        <v>149</v>
      </c>
      <c r="B114" s="50" t="s">
        <v>442</v>
      </c>
      <c r="C114" s="54" t="s">
        <v>235</v>
      </c>
      <c r="D114" s="54" t="s">
        <v>235</v>
      </c>
      <c r="E114" s="54" t="s">
        <v>235</v>
      </c>
      <c r="F114" s="55" t="s">
        <v>235</v>
      </c>
      <c r="G114"/>
    </row>
    <row r="115" spans="1:7" x14ac:dyDescent="0.55000000000000004">
      <c r="A115" t="s">
        <v>150</v>
      </c>
      <c r="B115" s="53" t="s">
        <v>235</v>
      </c>
      <c r="C115" s="54" t="s">
        <v>235</v>
      </c>
      <c r="D115" s="54" t="s">
        <v>235</v>
      </c>
      <c r="E115" s="54" t="s">
        <v>235</v>
      </c>
      <c r="F115" s="55" t="s">
        <v>235</v>
      </c>
      <c r="G115"/>
    </row>
    <row r="116" spans="1:7" x14ac:dyDescent="0.55000000000000004">
      <c r="A116" t="s">
        <v>151</v>
      </c>
      <c r="B116" s="53" t="s">
        <v>235</v>
      </c>
      <c r="C116" s="54" t="s">
        <v>235</v>
      </c>
      <c r="D116" s="54" t="s">
        <v>235</v>
      </c>
      <c r="E116" s="54" t="s">
        <v>235</v>
      </c>
      <c r="F116" s="55" t="s">
        <v>235</v>
      </c>
      <c r="G116"/>
    </row>
    <row r="117" spans="1:7" x14ac:dyDescent="0.55000000000000004">
      <c r="A117" t="s">
        <v>152</v>
      </c>
      <c r="B117" s="53" t="s">
        <v>235</v>
      </c>
      <c r="C117" s="54" t="s">
        <v>235</v>
      </c>
      <c r="D117" s="54" t="s">
        <v>235</v>
      </c>
      <c r="E117" s="54" t="s">
        <v>235</v>
      </c>
      <c r="F117" s="55" t="s">
        <v>235</v>
      </c>
      <c r="G117"/>
    </row>
    <row r="118" spans="1:7" x14ac:dyDescent="0.55000000000000004">
      <c r="A118" t="s">
        <v>153</v>
      </c>
      <c r="B118" s="53" t="s">
        <v>235</v>
      </c>
      <c r="C118" s="54" t="s">
        <v>235</v>
      </c>
      <c r="D118" s="54" t="s">
        <v>235</v>
      </c>
      <c r="E118" s="54" t="s">
        <v>235</v>
      </c>
      <c r="F118" s="55" t="s">
        <v>235</v>
      </c>
      <c r="G118"/>
    </row>
    <row r="119" spans="1:7" x14ac:dyDescent="0.55000000000000004">
      <c r="A119" t="s">
        <v>154</v>
      </c>
      <c r="B119" s="53" t="s">
        <v>235</v>
      </c>
      <c r="C119" s="54" t="s">
        <v>235</v>
      </c>
      <c r="D119" s="54" t="s">
        <v>235</v>
      </c>
      <c r="E119" s="54" t="s">
        <v>235</v>
      </c>
      <c r="F119" s="55" t="s">
        <v>235</v>
      </c>
      <c r="G119"/>
    </row>
    <row r="120" spans="1:7" x14ac:dyDescent="0.55000000000000004">
      <c r="A120" t="s">
        <v>155</v>
      </c>
      <c r="B120" s="50" t="s">
        <v>443</v>
      </c>
      <c r="C120" s="51" t="s">
        <v>444</v>
      </c>
      <c r="D120" s="51" t="s">
        <v>445</v>
      </c>
      <c r="E120" s="51" t="s">
        <v>446</v>
      </c>
      <c r="F120" s="52" t="s">
        <v>447</v>
      </c>
      <c r="G120" s="23"/>
    </row>
    <row r="121" spans="1:7" x14ac:dyDescent="0.55000000000000004">
      <c r="A121" t="s">
        <v>156</v>
      </c>
      <c r="B121" s="50" t="s">
        <v>448</v>
      </c>
      <c r="C121" s="51" t="s">
        <v>449</v>
      </c>
      <c r="D121" s="51" t="s">
        <v>450</v>
      </c>
      <c r="E121" s="51" t="s">
        <v>451</v>
      </c>
      <c r="F121" s="52" t="s">
        <v>452</v>
      </c>
      <c r="G121" s="23"/>
    </row>
    <row r="122" spans="1:7" x14ac:dyDescent="0.55000000000000004">
      <c r="A122" t="s">
        <v>157</v>
      </c>
      <c r="B122" s="50" t="s">
        <v>453</v>
      </c>
      <c r="C122" s="51" t="s">
        <v>454</v>
      </c>
      <c r="D122" s="51" t="s">
        <v>455</v>
      </c>
      <c r="E122" s="51" t="s">
        <v>456</v>
      </c>
      <c r="F122" s="52" t="s">
        <v>457</v>
      </c>
      <c r="G122" s="23"/>
    </row>
    <row r="123" spans="1:7" x14ac:dyDescent="0.55000000000000004">
      <c r="A123" t="s">
        <v>158</v>
      </c>
      <c r="B123" s="50" t="s">
        <v>453</v>
      </c>
      <c r="C123" s="51" t="s">
        <v>454</v>
      </c>
      <c r="D123" s="51" t="s">
        <v>455</v>
      </c>
      <c r="E123" s="51" t="s">
        <v>456</v>
      </c>
      <c r="F123" s="52" t="s">
        <v>457</v>
      </c>
      <c r="G123" s="23"/>
    </row>
    <row r="124" spans="1:7" x14ac:dyDescent="0.55000000000000004">
      <c r="A124" t="s">
        <v>159</v>
      </c>
      <c r="B124" s="50" t="s">
        <v>458</v>
      </c>
      <c r="C124" s="51" t="s">
        <v>459</v>
      </c>
      <c r="D124" s="51" t="s">
        <v>460</v>
      </c>
      <c r="E124" s="51" t="s">
        <v>461</v>
      </c>
      <c r="F124" s="52" t="s">
        <v>462</v>
      </c>
      <c r="G124" s="23"/>
    </row>
    <row r="125" spans="1:7" x14ac:dyDescent="0.55000000000000004">
      <c r="A125" t="s">
        <v>160</v>
      </c>
      <c r="B125" s="50" t="s">
        <v>463</v>
      </c>
      <c r="C125" s="51" t="s">
        <v>464</v>
      </c>
      <c r="D125" s="51" t="s">
        <v>465</v>
      </c>
      <c r="E125" s="51" t="s">
        <v>466</v>
      </c>
      <c r="F125" s="52" t="s">
        <v>467</v>
      </c>
      <c r="G125" s="23"/>
    </row>
    <row r="126" spans="1:7" x14ac:dyDescent="0.55000000000000004">
      <c r="A126" t="s">
        <v>161</v>
      </c>
      <c r="B126" s="50" t="s">
        <v>463</v>
      </c>
      <c r="C126" s="51" t="s">
        <v>464</v>
      </c>
      <c r="D126" s="51" t="s">
        <v>465</v>
      </c>
      <c r="E126" s="51" t="s">
        <v>466</v>
      </c>
      <c r="F126" s="52" t="s">
        <v>467</v>
      </c>
      <c r="G126" s="23"/>
    </row>
    <row r="127" spans="1:7" x14ac:dyDescent="0.55000000000000004">
      <c r="A127" t="s">
        <v>162</v>
      </c>
      <c r="B127" s="50" t="s">
        <v>468</v>
      </c>
      <c r="C127" s="51" t="s">
        <v>305</v>
      </c>
      <c r="D127" s="51" t="s">
        <v>469</v>
      </c>
      <c r="E127" s="51" t="s">
        <v>470</v>
      </c>
      <c r="F127" s="52" t="s">
        <v>471</v>
      </c>
      <c r="G127" s="23"/>
    </row>
    <row r="128" spans="1:7" x14ac:dyDescent="0.55000000000000004">
      <c r="A128" t="s">
        <v>163</v>
      </c>
      <c r="B128" s="50" t="s">
        <v>472</v>
      </c>
      <c r="C128" s="51" t="s">
        <v>473</v>
      </c>
      <c r="D128" s="51" t="s">
        <v>474</v>
      </c>
      <c r="E128" s="51" t="s">
        <v>475</v>
      </c>
      <c r="F128" s="52" t="s">
        <v>476</v>
      </c>
      <c r="G128" s="23"/>
    </row>
    <row r="129" spans="1:10" x14ac:dyDescent="0.55000000000000004">
      <c r="A129" t="s">
        <v>164</v>
      </c>
      <c r="B129" s="53" t="s">
        <v>235</v>
      </c>
      <c r="C129" s="54" t="s">
        <v>235</v>
      </c>
      <c r="D129" s="54" t="s">
        <v>235</v>
      </c>
      <c r="E129" s="54" t="s">
        <v>235</v>
      </c>
      <c r="F129" s="55" t="s">
        <v>235</v>
      </c>
      <c r="G129"/>
    </row>
    <row r="130" spans="1:10" x14ac:dyDescent="0.55000000000000004">
      <c r="A130" s="46" t="s">
        <v>165</v>
      </c>
      <c r="B130" s="50" t="s">
        <v>477</v>
      </c>
      <c r="C130" s="51" t="s">
        <v>478</v>
      </c>
      <c r="D130" s="51" t="s">
        <v>479</v>
      </c>
      <c r="E130" s="51" t="s">
        <v>480</v>
      </c>
      <c r="F130" s="52" t="s">
        <v>481</v>
      </c>
      <c r="G130" s="18">
        <f>+(C130-B130)/B130</f>
        <v>1.8168286755771568</v>
      </c>
      <c r="H130" s="18">
        <f t="shared" ref="H130" si="16">+(D130-C130)/C130</f>
        <v>-0.55537582227973692</v>
      </c>
      <c r="I130" s="18">
        <f t="shared" ref="I130" si="17">+(E130-D130)/D130</f>
        <v>0.96305279327350635</v>
      </c>
      <c r="J130" s="18">
        <f>+(F130-E130)/E130</f>
        <v>1.4550471562126766</v>
      </c>
    </row>
    <row r="131" spans="1:10" x14ac:dyDescent="0.55000000000000004">
      <c r="A131" t="s">
        <v>166</v>
      </c>
      <c r="B131" s="50" t="s">
        <v>477</v>
      </c>
      <c r="C131" s="51" t="s">
        <v>478</v>
      </c>
      <c r="D131" s="51" t="s">
        <v>479</v>
      </c>
      <c r="E131" s="51" t="s">
        <v>480</v>
      </c>
      <c r="F131" s="52" t="s">
        <v>481</v>
      </c>
      <c r="G131" s="23"/>
    </row>
    <row r="132" spans="1:10" x14ac:dyDescent="0.55000000000000004">
      <c r="A132" t="s">
        <v>167</v>
      </c>
      <c r="B132" s="50" t="s">
        <v>482</v>
      </c>
      <c r="C132" s="51" t="s">
        <v>483</v>
      </c>
      <c r="D132" s="51" t="s">
        <v>484</v>
      </c>
      <c r="E132" s="51" t="s">
        <v>485</v>
      </c>
      <c r="F132" s="52" t="s">
        <v>486</v>
      </c>
      <c r="G132" s="23"/>
    </row>
    <row r="133" spans="1:10" x14ac:dyDescent="0.55000000000000004">
      <c r="A133" t="s">
        <v>168</v>
      </c>
      <c r="B133" s="50" t="s">
        <v>482</v>
      </c>
      <c r="C133" s="51" t="s">
        <v>487</v>
      </c>
      <c r="D133" s="51" t="s">
        <v>488</v>
      </c>
      <c r="E133" s="51" t="s">
        <v>489</v>
      </c>
      <c r="F133" s="52" t="s">
        <v>490</v>
      </c>
      <c r="G133" s="23"/>
    </row>
    <row r="134" spans="1:10" x14ac:dyDescent="0.55000000000000004">
      <c r="A134" t="s">
        <v>169</v>
      </c>
      <c r="B134" s="53" t="s">
        <v>235</v>
      </c>
      <c r="C134" s="51" t="s">
        <v>491</v>
      </c>
      <c r="D134" s="51" t="s">
        <v>492</v>
      </c>
      <c r="E134" s="51" t="s">
        <v>493</v>
      </c>
      <c r="F134" s="52" t="s">
        <v>494</v>
      </c>
      <c r="G134" s="23"/>
    </row>
    <row r="135" spans="1:10" x14ac:dyDescent="0.55000000000000004">
      <c r="A135" t="s">
        <v>170</v>
      </c>
      <c r="B135" s="50" t="s">
        <v>495</v>
      </c>
      <c r="C135" s="51" t="s">
        <v>496</v>
      </c>
      <c r="D135" s="51" t="s">
        <v>497</v>
      </c>
      <c r="E135" s="51" t="s">
        <v>498</v>
      </c>
      <c r="F135" s="52" t="s">
        <v>499</v>
      </c>
      <c r="G135" s="23"/>
    </row>
    <row r="136" spans="1:10" x14ac:dyDescent="0.55000000000000004">
      <c r="A136" t="s">
        <v>171</v>
      </c>
      <c r="B136" s="50" t="s">
        <v>495</v>
      </c>
      <c r="C136" s="51" t="s">
        <v>496</v>
      </c>
      <c r="D136" s="51" t="s">
        <v>497</v>
      </c>
      <c r="E136" s="51" t="s">
        <v>498</v>
      </c>
      <c r="F136" s="52" t="s">
        <v>499</v>
      </c>
      <c r="G136" s="23"/>
    </row>
    <row r="137" spans="1:10" x14ac:dyDescent="0.55000000000000004">
      <c r="A137" t="s">
        <v>172</v>
      </c>
      <c r="B137" s="50" t="s">
        <v>500</v>
      </c>
      <c r="C137" s="51" t="s">
        <v>501</v>
      </c>
      <c r="D137" s="51" t="s">
        <v>502</v>
      </c>
      <c r="E137" s="51" t="s">
        <v>503</v>
      </c>
      <c r="F137" s="52" t="s">
        <v>504</v>
      </c>
      <c r="G137" s="23"/>
    </row>
    <row r="138" spans="1:10" x14ac:dyDescent="0.55000000000000004">
      <c r="A138" t="s">
        <v>173</v>
      </c>
      <c r="B138" s="50" t="s">
        <v>505</v>
      </c>
      <c r="C138" s="51" t="s">
        <v>506</v>
      </c>
      <c r="D138" s="51" t="s">
        <v>507</v>
      </c>
      <c r="E138" s="51" t="s">
        <v>508</v>
      </c>
      <c r="F138" s="52" t="s">
        <v>509</v>
      </c>
      <c r="G138" s="23"/>
    </row>
    <row r="139" spans="1:10" x14ac:dyDescent="0.55000000000000004">
      <c r="A139" t="s">
        <v>174</v>
      </c>
      <c r="B139" s="50" t="s">
        <v>510</v>
      </c>
      <c r="C139" s="51" t="s">
        <v>511</v>
      </c>
      <c r="D139" s="51" t="s">
        <v>512</v>
      </c>
      <c r="E139" s="51" t="s">
        <v>513</v>
      </c>
      <c r="F139" s="52" t="s">
        <v>514</v>
      </c>
      <c r="G139" s="23"/>
    </row>
    <row r="140" spans="1:10" x14ac:dyDescent="0.55000000000000004">
      <c r="A140" s="46" t="s">
        <v>175</v>
      </c>
      <c r="B140" s="50" t="s">
        <v>515</v>
      </c>
      <c r="C140" s="51" t="s">
        <v>516</v>
      </c>
      <c r="D140" s="51" t="s">
        <v>517</v>
      </c>
      <c r="E140" s="51" t="s">
        <v>518</v>
      </c>
      <c r="F140" s="52" t="s">
        <v>519</v>
      </c>
      <c r="G140" s="18">
        <f>+(C140-B140)/B140</f>
        <v>-4.3871521813809684</v>
      </c>
      <c r="H140" s="18">
        <f t="shared" ref="H140" si="18">+(D140-C140)/C140</f>
        <v>-1.7795131845841785</v>
      </c>
      <c r="I140" s="18">
        <f t="shared" ref="I140" si="19">+(E140-D140)/D140</f>
        <v>0.30965391621129323</v>
      </c>
      <c r="J140" s="18">
        <f>+(F140-E140)/E140</f>
        <v>-0.89032386250745077</v>
      </c>
    </row>
    <row r="141" spans="1:10" x14ac:dyDescent="0.55000000000000004">
      <c r="A141" t="s">
        <v>176</v>
      </c>
      <c r="B141" s="50" t="s">
        <v>515</v>
      </c>
      <c r="C141" s="51" t="s">
        <v>516</v>
      </c>
      <c r="D141" s="51" t="s">
        <v>517</v>
      </c>
      <c r="E141" s="51" t="s">
        <v>518</v>
      </c>
      <c r="F141" s="52" t="s">
        <v>519</v>
      </c>
      <c r="G141" s="23"/>
    </row>
    <row r="142" spans="1:10" x14ac:dyDescent="0.55000000000000004">
      <c r="A142" t="s">
        <v>177</v>
      </c>
      <c r="B142" s="50" t="s">
        <v>520</v>
      </c>
      <c r="C142" s="51" t="s">
        <v>521</v>
      </c>
      <c r="D142" s="51" t="s">
        <v>522</v>
      </c>
      <c r="E142" s="51" t="s">
        <v>523</v>
      </c>
      <c r="F142" s="52" t="s">
        <v>524</v>
      </c>
      <c r="G142" s="23"/>
    </row>
    <row r="143" spans="1:10" x14ac:dyDescent="0.55000000000000004">
      <c r="A143" t="s">
        <v>178</v>
      </c>
      <c r="B143" s="53" t="s">
        <v>235</v>
      </c>
      <c r="C143" s="54" t="s">
        <v>235</v>
      </c>
      <c r="D143" s="54" t="s">
        <v>235</v>
      </c>
      <c r="E143" s="54" t="s">
        <v>235</v>
      </c>
      <c r="F143" s="52" t="s">
        <v>525</v>
      </c>
      <c r="G143" s="23"/>
    </row>
    <row r="144" spans="1:10" x14ac:dyDescent="0.55000000000000004">
      <c r="A144" t="s">
        <v>179</v>
      </c>
      <c r="B144" s="53" t="s">
        <v>235</v>
      </c>
      <c r="C144" s="54" t="s">
        <v>235</v>
      </c>
      <c r="D144" s="54" t="s">
        <v>235</v>
      </c>
      <c r="E144" s="54" t="s">
        <v>235</v>
      </c>
      <c r="F144" s="52" t="s">
        <v>526</v>
      </c>
      <c r="G144" s="23"/>
    </row>
    <row r="145" spans="1:7" x14ac:dyDescent="0.55000000000000004">
      <c r="A145" t="s">
        <v>180</v>
      </c>
      <c r="B145" s="53" t="s">
        <v>235</v>
      </c>
      <c r="C145" s="54" t="s">
        <v>235</v>
      </c>
      <c r="D145" s="54" t="s">
        <v>235</v>
      </c>
      <c r="E145" s="54" t="s">
        <v>235</v>
      </c>
      <c r="F145" s="52" t="s">
        <v>527</v>
      </c>
      <c r="G145" s="23"/>
    </row>
    <row r="146" spans="1:7" x14ac:dyDescent="0.55000000000000004">
      <c r="A146" t="s">
        <v>181</v>
      </c>
      <c r="B146" s="50" t="s">
        <v>520</v>
      </c>
      <c r="C146" s="51" t="s">
        <v>521</v>
      </c>
      <c r="D146" s="51" t="s">
        <v>522</v>
      </c>
      <c r="E146" s="51" t="s">
        <v>523</v>
      </c>
      <c r="F146" s="52" t="s">
        <v>528</v>
      </c>
      <c r="G146" s="23"/>
    </row>
    <row r="147" spans="1:7" x14ac:dyDescent="0.55000000000000004">
      <c r="A147" t="s">
        <v>182</v>
      </c>
      <c r="B147" s="50" t="s">
        <v>529</v>
      </c>
      <c r="C147" s="51" t="s">
        <v>530</v>
      </c>
      <c r="D147" s="51" t="s">
        <v>531</v>
      </c>
      <c r="E147" s="51" t="s">
        <v>532</v>
      </c>
      <c r="F147" s="52" t="s">
        <v>533</v>
      </c>
      <c r="G147" s="23"/>
    </row>
    <row r="148" spans="1:7" x14ac:dyDescent="0.55000000000000004">
      <c r="A148" t="s">
        <v>183</v>
      </c>
      <c r="B148" s="50" t="s">
        <v>534</v>
      </c>
      <c r="C148" s="51" t="s">
        <v>535</v>
      </c>
      <c r="D148" s="51" t="s">
        <v>536</v>
      </c>
      <c r="E148" s="51" t="s">
        <v>537</v>
      </c>
      <c r="F148" s="52" t="s">
        <v>538</v>
      </c>
      <c r="G148" s="23"/>
    </row>
    <row r="149" spans="1:7" x14ac:dyDescent="0.55000000000000004">
      <c r="A149" t="s">
        <v>184</v>
      </c>
      <c r="B149" s="50" t="s">
        <v>539</v>
      </c>
      <c r="C149" s="51" t="s">
        <v>540</v>
      </c>
      <c r="D149" s="51" t="s">
        <v>541</v>
      </c>
      <c r="E149" s="51" t="s">
        <v>542</v>
      </c>
      <c r="F149" s="52" t="s">
        <v>543</v>
      </c>
      <c r="G149" s="23"/>
    </row>
    <row r="150" spans="1:7" x14ac:dyDescent="0.55000000000000004">
      <c r="A150" t="s">
        <v>185</v>
      </c>
      <c r="B150" s="50" t="s">
        <v>539</v>
      </c>
      <c r="C150" s="51" t="s">
        <v>540</v>
      </c>
      <c r="D150" s="51" t="s">
        <v>541</v>
      </c>
      <c r="E150" s="51" t="s">
        <v>542</v>
      </c>
      <c r="F150" s="52" t="s">
        <v>543</v>
      </c>
      <c r="G150" s="23"/>
    </row>
    <row r="151" spans="1:7" ht="24.75" thickBot="1" x14ac:dyDescent="0.6">
      <c r="A151" t="s">
        <v>186</v>
      </c>
      <c r="B151" s="56" t="s">
        <v>544</v>
      </c>
      <c r="C151" s="59" t="s">
        <v>235</v>
      </c>
      <c r="D151" s="59" t="s">
        <v>235</v>
      </c>
      <c r="E151" s="59" t="s">
        <v>235</v>
      </c>
      <c r="F151" s="60" t="s">
        <v>235</v>
      </c>
      <c r="G151"/>
    </row>
  </sheetData>
  <mergeCells count="4">
    <mergeCell ref="G97:K97"/>
    <mergeCell ref="A3:J3"/>
    <mergeCell ref="B4:F4"/>
    <mergeCell ref="G4:K4"/>
  </mergeCells>
  <conditionalFormatting sqref="G7:J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:J1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J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1:J3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5:J3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7:J7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4:J9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3:J10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0:J1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0:J1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CC67-5A23-4DB9-810B-DEC84F331ADC}">
  <sheetPr>
    <tabColor theme="1"/>
  </sheetPr>
  <dimension ref="A1:N15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RowHeight="24" x14ac:dyDescent="0.55000000000000004"/>
  <cols>
    <col min="1" max="1" width="55.75" style="12" customWidth="1"/>
    <col min="2" max="2" width="13" style="12" customWidth="1"/>
    <col min="3" max="3" width="13" style="12" bestFit="1" customWidth="1"/>
    <col min="4" max="4" width="16" style="12" bestFit="1" customWidth="1"/>
    <col min="5" max="6" width="13" style="12" bestFit="1" customWidth="1"/>
    <col min="7" max="7" width="12.375" style="12" bestFit="1" customWidth="1"/>
    <col min="8" max="8" width="12.125" style="12" bestFit="1" customWidth="1"/>
    <col min="9" max="11" width="12.375" style="12" bestFit="1" customWidth="1"/>
    <col min="12" max="16384" width="11" style="12"/>
  </cols>
  <sheetData>
    <row r="1" spans="1:14" ht="39" x14ac:dyDescent="0.9">
      <c r="A1" s="11" t="s">
        <v>188</v>
      </c>
    </row>
    <row r="2" spans="1:14" x14ac:dyDescent="0.55000000000000004">
      <c r="B2" s="14" t="s">
        <v>41</v>
      </c>
      <c r="C2" s="15"/>
      <c r="D2" s="14" t="str">
        <f>+'ANÁLISIS CUALITATIVO'!H2</f>
        <v>EMPRESA EJEMPLO</v>
      </c>
    </row>
    <row r="3" spans="1:14" x14ac:dyDescent="0.55000000000000004">
      <c r="A3" s="103" t="s">
        <v>39</v>
      </c>
      <c r="B3" s="103"/>
      <c r="C3" s="103"/>
      <c r="D3" s="103"/>
      <c r="E3" s="103"/>
      <c r="F3" s="103"/>
      <c r="G3" s="103"/>
      <c r="H3" s="103"/>
      <c r="I3" s="103"/>
      <c r="J3" s="103"/>
    </row>
    <row r="4" spans="1:14" ht="24.75" thickBot="1" x14ac:dyDescent="0.6">
      <c r="A4" s="12" t="s">
        <v>36</v>
      </c>
      <c r="B4" s="107" t="s">
        <v>69</v>
      </c>
      <c r="C4" s="107"/>
      <c r="D4" s="107"/>
      <c r="E4" s="107"/>
      <c r="F4" s="107"/>
      <c r="G4" s="107" t="s">
        <v>70</v>
      </c>
      <c r="H4" s="107"/>
      <c r="I4" s="107"/>
      <c r="J4" s="107"/>
      <c r="K4" s="107"/>
    </row>
    <row r="5" spans="1:14" ht="24.75" thickBot="1" x14ac:dyDescent="0.6">
      <c r="A5" s="16" t="str">
        <f>+D2</f>
        <v>EMPRESA EJEMPLO</v>
      </c>
      <c r="B5" s="33" t="s">
        <v>633</v>
      </c>
      <c r="C5" s="61" t="s">
        <v>636</v>
      </c>
      <c r="D5" s="61" t="s">
        <v>635</v>
      </c>
      <c r="E5" s="61" t="s">
        <v>634</v>
      </c>
      <c r="F5" s="61"/>
      <c r="G5" s="33">
        <v>2016</v>
      </c>
      <c r="H5" s="34">
        <f>+G5+1</f>
        <v>2017</v>
      </c>
      <c r="I5" s="34">
        <f t="shared" ref="I5:K5" si="0">+H5+1</f>
        <v>2018</v>
      </c>
      <c r="J5" s="34">
        <f t="shared" si="0"/>
        <v>2019</v>
      </c>
      <c r="K5" s="35">
        <f t="shared" si="0"/>
        <v>2020</v>
      </c>
    </row>
    <row r="6" spans="1:14" x14ac:dyDescent="0.55000000000000004">
      <c r="A6" s="21" t="s">
        <v>43</v>
      </c>
      <c r="B6" s="24"/>
      <c r="C6" s="25"/>
      <c r="D6" s="25"/>
      <c r="E6" s="25"/>
      <c r="F6" s="26"/>
      <c r="G6" s="17"/>
      <c r="H6" s="17"/>
      <c r="I6" s="17"/>
      <c r="J6" s="17"/>
      <c r="K6" s="17"/>
      <c r="L6" s="17"/>
      <c r="M6" s="17"/>
      <c r="N6" s="17"/>
    </row>
    <row r="7" spans="1:14" x14ac:dyDescent="0.55000000000000004">
      <c r="A7" s="19" t="s">
        <v>45</v>
      </c>
      <c r="B7" s="24"/>
      <c r="C7" s="25"/>
      <c r="D7" s="25"/>
      <c r="E7" s="25"/>
      <c r="F7" s="26"/>
      <c r="G7" s="18" t="e">
        <f>+(C7-B7)/B7</f>
        <v>#DIV/0!</v>
      </c>
      <c r="H7" s="18" t="e">
        <f t="shared" ref="H7:I7" si="1">+(D7-C7)/C7</f>
        <v>#DIV/0!</v>
      </c>
      <c r="I7" s="18" t="e">
        <f t="shared" si="1"/>
        <v>#DIV/0!</v>
      </c>
      <c r="J7" s="18" t="e">
        <f>+(F7-E7)/E7</f>
        <v>#DIV/0!</v>
      </c>
      <c r="K7" s="18"/>
      <c r="L7" s="17"/>
      <c r="M7" s="17"/>
      <c r="N7" s="17"/>
    </row>
    <row r="8" spans="1:14" x14ac:dyDescent="0.55000000000000004">
      <c r="A8" t="s">
        <v>46</v>
      </c>
      <c r="B8" s="24"/>
      <c r="C8" s="25"/>
      <c r="D8" s="25"/>
      <c r="E8" s="25"/>
      <c r="F8" s="26"/>
      <c r="G8" s="17"/>
      <c r="H8" s="17"/>
      <c r="I8" s="17"/>
      <c r="J8" s="17"/>
      <c r="K8" s="17"/>
      <c r="L8" s="17"/>
      <c r="M8" s="17"/>
      <c r="N8" s="17"/>
    </row>
    <row r="9" spans="1:14" x14ac:dyDescent="0.55000000000000004">
      <c r="A9" t="s">
        <v>47</v>
      </c>
      <c r="B9" s="24"/>
      <c r="C9" s="25"/>
      <c r="D9" s="25"/>
      <c r="E9" s="25"/>
      <c r="F9" s="26"/>
      <c r="G9" s="17"/>
      <c r="H9" s="17"/>
      <c r="I9" s="17"/>
      <c r="J9" s="17"/>
      <c r="K9" s="17"/>
      <c r="L9" s="17"/>
      <c r="M9" s="17"/>
      <c r="N9" s="17"/>
    </row>
    <row r="10" spans="1:14" x14ac:dyDescent="0.55000000000000004">
      <c r="A10" t="s">
        <v>48</v>
      </c>
      <c r="B10" s="24"/>
      <c r="C10" s="25"/>
      <c r="D10" s="25"/>
      <c r="E10" s="25"/>
      <c r="F10" s="26"/>
      <c r="G10" s="17"/>
      <c r="H10" s="17"/>
      <c r="I10" s="17"/>
      <c r="J10" s="17"/>
      <c r="K10" s="17"/>
      <c r="L10" s="17"/>
      <c r="M10" s="17"/>
      <c r="N10" s="17"/>
    </row>
    <row r="11" spans="1:14" x14ac:dyDescent="0.55000000000000004">
      <c r="A11" t="s">
        <v>49</v>
      </c>
      <c r="B11" s="24"/>
      <c r="C11" s="25"/>
      <c r="D11" s="25"/>
      <c r="E11" s="25"/>
      <c r="F11" s="26"/>
      <c r="G11" s="17"/>
      <c r="H11" s="17"/>
      <c r="I11" s="17"/>
      <c r="J11" s="17"/>
      <c r="K11" s="17"/>
      <c r="L11" s="17"/>
      <c r="M11" s="17"/>
      <c r="N11" s="17"/>
    </row>
    <row r="12" spans="1:14" x14ac:dyDescent="0.55000000000000004">
      <c r="A12" t="s">
        <v>50</v>
      </c>
      <c r="B12" s="24"/>
      <c r="C12" s="25"/>
      <c r="D12" s="25"/>
      <c r="E12" s="25"/>
      <c r="F12" s="26"/>
      <c r="G12" s="17"/>
      <c r="H12" s="17"/>
      <c r="I12" s="17"/>
      <c r="J12" s="17"/>
      <c r="K12" s="17"/>
      <c r="L12" s="17"/>
      <c r="M12" s="17"/>
      <c r="N12" s="17"/>
    </row>
    <row r="13" spans="1:14" x14ac:dyDescent="0.55000000000000004">
      <c r="A13" t="s">
        <v>51</v>
      </c>
      <c r="B13" s="24"/>
      <c r="C13" s="25"/>
      <c r="D13" s="25"/>
      <c r="E13" s="25"/>
      <c r="F13" s="26"/>
      <c r="G13" s="17"/>
      <c r="H13" s="17"/>
      <c r="I13" s="17"/>
      <c r="J13" s="17"/>
      <c r="K13" s="17"/>
      <c r="L13" s="17"/>
      <c r="M13" s="17"/>
      <c r="N13" s="17"/>
    </row>
    <row r="14" spans="1:14" x14ac:dyDescent="0.55000000000000004">
      <c r="A14" t="s">
        <v>52</v>
      </c>
      <c r="B14" s="24"/>
      <c r="C14" s="25"/>
      <c r="D14" s="25"/>
      <c r="E14" s="25"/>
      <c r="F14" s="26"/>
      <c r="G14" s="17"/>
      <c r="H14" s="17"/>
      <c r="I14" s="17"/>
      <c r="J14" s="17"/>
      <c r="K14" s="17"/>
      <c r="L14" s="17"/>
      <c r="M14" s="17"/>
      <c r="N14" s="17"/>
    </row>
    <row r="15" spans="1:14" x14ac:dyDescent="0.55000000000000004">
      <c r="A15" s="19" t="s">
        <v>53</v>
      </c>
      <c r="B15" s="24"/>
      <c r="C15" s="25"/>
      <c r="D15" s="25"/>
      <c r="E15" s="25"/>
      <c r="F15" s="26"/>
      <c r="G15" s="18" t="e">
        <f>+(C15-B15)/B15</f>
        <v>#DIV/0!</v>
      </c>
      <c r="H15" s="18" t="e">
        <f>+(D15-C15)/C15</f>
        <v>#DIV/0!</v>
      </c>
      <c r="I15" s="18" t="e">
        <f>+(E15-D15)/D15</f>
        <v>#DIV/0!</v>
      </c>
      <c r="J15" s="18" t="e">
        <f>+(F15-E15)/E15</f>
        <v>#DIV/0!</v>
      </c>
      <c r="K15" s="17"/>
      <c r="L15" s="17"/>
      <c r="M15" s="17"/>
      <c r="N15" s="17"/>
    </row>
    <row r="16" spans="1:14" x14ac:dyDescent="0.55000000000000004">
      <c r="A16" t="s">
        <v>54</v>
      </c>
      <c r="B16" s="24"/>
      <c r="C16" s="25"/>
      <c r="D16" s="25"/>
      <c r="E16" s="25"/>
      <c r="F16" s="26"/>
      <c r="G16" s="17"/>
      <c r="H16" s="17"/>
      <c r="I16" s="17"/>
      <c r="J16" s="17"/>
      <c r="K16" s="17"/>
      <c r="L16" s="17"/>
      <c r="M16" s="17"/>
      <c r="N16" s="17"/>
    </row>
    <row r="17" spans="1:14" x14ac:dyDescent="0.55000000000000004">
      <c r="A17" s="19" t="s">
        <v>55</v>
      </c>
      <c r="B17" s="24"/>
      <c r="C17" s="25"/>
      <c r="D17" s="25"/>
      <c r="E17" s="25"/>
      <c r="F17" s="26"/>
      <c r="G17" s="18" t="e">
        <f>+(C17-B17)/B17</f>
        <v>#DIV/0!</v>
      </c>
      <c r="H17" s="18" t="e">
        <f>+(D17-C17)/C17</f>
        <v>#DIV/0!</v>
      </c>
      <c r="I17" s="18" t="e">
        <f>+(E17-D17)/D17</f>
        <v>#DIV/0!</v>
      </c>
      <c r="J17" s="18" t="e">
        <f>+(F17-E17)/E17</f>
        <v>#DIV/0!</v>
      </c>
      <c r="K17" s="17"/>
      <c r="L17" s="17"/>
      <c r="M17" s="17"/>
      <c r="N17" s="17"/>
    </row>
    <row r="18" spans="1:14" x14ac:dyDescent="0.55000000000000004">
      <c r="A18" t="s">
        <v>56</v>
      </c>
      <c r="B18" s="24"/>
      <c r="C18" s="25"/>
      <c r="D18" s="25"/>
      <c r="E18" s="25"/>
      <c r="F18" s="26"/>
      <c r="G18" s="17"/>
      <c r="H18" s="17"/>
      <c r="I18" s="17"/>
      <c r="J18" s="17"/>
      <c r="K18" s="17"/>
      <c r="L18" s="17"/>
      <c r="M18" s="17"/>
      <c r="N18" s="17"/>
    </row>
    <row r="19" spans="1:14" x14ac:dyDescent="0.55000000000000004">
      <c r="A19" t="s">
        <v>57</v>
      </c>
      <c r="B19" s="24"/>
      <c r="C19" s="25"/>
      <c r="D19" s="25"/>
      <c r="E19" s="25"/>
      <c r="F19" s="26"/>
      <c r="G19" s="17"/>
      <c r="H19" s="17"/>
      <c r="I19" s="17"/>
      <c r="J19" s="17"/>
      <c r="K19" s="17"/>
      <c r="L19" s="17"/>
      <c r="M19" s="17"/>
      <c r="N19" s="17"/>
    </row>
    <row r="20" spans="1:14" x14ac:dyDescent="0.55000000000000004">
      <c r="A20" t="s">
        <v>58</v>
      </c>
      <c r="B20" s="24"/>
      <c r="C20" s="25"/>
      <c r="D20" s="25"/>
      <c r="E20" s="25"/>
      <c r="F20" s="26"/>
      <c r="G20" s="17"/>
      <c r="H20" s="17"/>
      <c r="I20" s="17"/>
      <c r="J20" s="17"/>
      <c r="K20" s="17"/>
      <c r="L20" s="17"/>
      <c r="M20" s="17"/>
      <c r="N20" s="17"/>
    </row>
    <row r="21" spans="1:14" x14ac:dyDescent="0.55000000000000004">
      <c r="A21" t="s">
        <v>59</v>
      </c>
      <c r="B21" s="24"/>
      <c r="C21" s="25"/>
      <c r="D21" s="25"/>
      <c r="E21" s="25"/>
      <c r="F21" s="26"/>
      <c r="G21" s="17"/>
      <c r="H21" s="17"/>
      <c r="I21" s="17"/>
      <c r="J21" s="17"/>
      <c r="K21" s="17"/>
      <c r="L21" s="17"/>
      <c r="M21" s="17"/>
      <c r="N21" s="17"/>
    </row>
    <row r="22" spans="1:14" x14ac:dyDescent="0.55000000000000004">
      <c r="A22" t="s">
        <v>60</v>
      </c>
      <c r="B22" s="24"/>
      <c r="C22" s="25"/>
      <c r="D22" s="25"/>
      <c r="E22" s="25"/>
      <c r="F22" s="26"/>
      <c r="G22" s="17"/>
      <c r="H22" s="17"/>
      <c r="I22" s="17"/>
      <c r="J22" s="17"/>
      <c r="K22" s="17"/>
      <c r="L22" s="17"/>
      <c r="M22" s="17"/>
      <c r="N22" s="17"/>
    </row>
    <row r="23" spans="1:14" x14ac:dyDescent="0.55000000000000004">
      <c r="A23" t="s">
        <v>61</v>
      </c>
      <c r="B23" s="24"/>
      <c r="C23" s="25"/>
      <c r="D23" s="25"/>
      <c r="E23" s="25"/>
      <c r="F23" s="26"/>
      <c r="G23" s="17"/>
      <c r="H23" s="17"/>
      <c r="I23" s="17"/>
      <c r="J23" s="17"/>
      <c r="K23" s="17"/>
      <c r="L23" s="17"/>
      <c r="M23" s="17"/>
      <c r="N23" s="17"/>
    </row>
    <row r="24" spans="1:14" x14ac:dyDescent="0.55000000000000004">
      <c r="A24" t="s">
        <v>62</v>
      </c>
      <c r="B24" s="27"/>
      <c r="C24" s="28"/>
      <c r="D24" s="28"/>
      <c r="E24" s="28"/>
      <c r="F24" s="29"/>
      <c r="G24" s="17"/>
      <c r="H24" s="17"/>
      <c r="I24" s="17"/>
      <c r="J24" s="17"/>
      <c r="K24" s="17"/>
      <c r="L24" s="17"/>
      <c r="M24" s="17"/>
      <c r="N24" s="17"/>
    </row>
    <row r="25" spans="1:14" x14ac:dyDescent="0.55000000000000004">
      <c r="A25" t="s">
        <v>44</v>
      </c>
      <c r="B25" s="24"/>
      <c r="C25" s="25"/>
      <c r="D25" s="25"/>
      <c r="E25" s="25"/>
      <c r="F25" s="26"/>
      <c r="G25" s="17"/>
      <c r="H25" s="17"/>
      <c r="I25" s="17"/>
      <c r="J25" s="17"/>
      <c r="K25" s="17"/>
      <c r="L25" s="17"/>
      <c r="M25" s="17"/>
      <c r="N25" s="17"/>
    </row>
    <row r="26" spans="1:14" x14ac:dyDescent="0.55000000000000004">
      <c r="A26" t="s">
        <v>63</v>
      </c>
      <c r="B26" s="24"/>
      <c r="C26" s="25"/>
      <c r="D26" s="25"/>
      <c r="E26" s="25"/>
      <c r="F26" s="26"/>
      <c r="G26" s="17"/>
      <c r="H26" s="17"/>
      <c r="I26" s="17"/>
      <c r="J26" s="17"/>
      <c r="K26" s="17"/>
      <c r="L26" s="17"/>
      <c r="M26" s="17"/>
      <c r="N26" s="17"/>
    </row>
    <row r="27" spans="1:14" x14ac:dyDescent="0.55000000000000004">
      <c r="A27" t="s">
        <v>64</v>
      </c>
      <c r="B27" s="24"/>
      <c r="C27" s="25"/>
      <c r="D27" s="25"/>
      <c r="E27" s="25"/>
      <c r="F27" s="26"/>
      <c r="G27" s="17"/>
      <c r="H27" s="17"/>
      <c r="I27" s="17"/>
      <c r="J27" s="17"/>
      <c r="K27" s="17"/>
      <c r="L27" s="17"/>
      <c r="M27" s="17"/>
      <c r="N27" s="17"/>
    </row>
    <row r="28" spans="1:14" x14ac:dyDescent="0.55000000000000004">
      <c r="A28" t="s">
        <v>65</v>
      </c>
      <c r="B28" s="24"/>
      <c r="C28" s="25"/>
      <c r="D28" s="25"/>
      <c r="E28" s="25"/>
      <c r="F28" s="26"/>
      <c r="G28" s="17"/>
      <c r="H28" s="17"/>
      <c r="I28" s="17"/>
      <c r="J28" s="17"/>
      <c r="K28" s="17"/>
      <c r="L28" s="17"/>
      <c r="M28" s="17"/>
      <c r="N28" s="17"/>
    </row>
    <row r="29" spans="1:14" x14ac:dyDescent="0.55000000000000004">
      <c r="A29" t="s">
        <v>66</v>
      </c>
      <c r="B29" s="24"/>
      <c r="C29" s="25"/>
      <c r="D29" s="25"/>
      <c r="E29" s="25"/>
      <c r="F29" s="26"/>
      <c r="G29" s="17"/>
      <c r="H29" s="17"/>
      <c r="I29" s="17"/>
      <c r="J29" s="17"/>
      <c r="K29" s="17"/>
      <c r="L29" s="17"/>
      <c r="M29" s="17"/>
      <c r="N29" s="17"/>
    </row>
    <row r="30" spans="1:14" x14ac:dyDescent="0.55000000000000004">
      <c r="A30" t="s">
        <v>67</v>
      </c>
      <c r="B30" s="24"/>
      <c r="C30" s="25"/>
      <c r="D30" s="25"/>
      <c r="E30" s="25"/>
      <c r="F30" s="26"/>
      <c r="G30" s="17"/>
      <c r="H30" s="17"/>
      <c r="I30" s="17"/>
      <c r="J30" s="17"/>
      <c r="K30" s="17"/>
      <c r="L30" s="17"/>
      <c r="M30" s="17"/>
      <c r="N30" s="17"/>
    </row>
    <row r="31" spans="1:14" ht="24.75" thickBot="1" x14ac:dyDescent="0.6">
      <c r="A31" s="20" t="s">
        <v>68</v>
      </c>
      <c r="B31" s="30"/>
      <c r="C31" s="31"/>
      <c r="D31" s="31"/>
      <c r="E31" s="31"/>
      <c r="F31" s="32"/>
      <c r="G31" s="18" t="e">
        <f>+(C31-B31)/B31</f>
        <v>#DIV/0!</v>
      </c>
      <c r="H31" s="18" t="e">
        <f t="shared" ref="H31:I31" si="2">+(D31-C31)/C31</f>
        <v>#DIV/0!</v>
      </c>
      <c r="I31" s="18" t="e">
        <f t="shared" si="2"/>
        <v>#DIV/0!</v>
      </c>
      <c r="J31" s="18" t="e">
        <f>+(F31-E31)/E31</f>
        <v>#DIV/0!</v>
      </c>
      <c r="K31" s="17"/>
      <c r="L31" s="17"/>
      <c r="M31" s="17"/>
      <c r="N31" s="17"/>
    </row>
    <row r="33" spans="1:10" x14ac:dyDescent="0.55000000000000004">
      <c r="A33" s="12" t="s">
        <v>37</v>
      </c>
    </row>
    <row r="34" spans="1:10" ht="24.75" thickBot="1" x14ac:dyDescent="0.6">
      <c r="A34" s="16" t="str">
        <f>+A5</f>
        <v>EMPRESA EJEMPLO</v>
      </c>
    </row>
    <row r="35" spans="1:10" x14ac:dyDescent="0.55000000000000004">
      <c r="A35" s="19" t="s">
        <v>71</v>
      </c>
      <c r="B35" s="47"/>
      <c r="C35" s="48"/>
      <c r="D35" s="48"/>
      <c r="E35" s="48"/>
      <c r="F35" s="49"/>
      <c r="G35" s="18" t="e">
        <f>+(C35-B35)/B35</f>
        <v>#DIV/0!</v>
      </c>
      <c r="H35" s="18" t="e">
        <f t="shared" ref="H35:I35" si="3">+(D35-C35)/C35</f>
        <v>#DIV/0!</v>
      </c>
      <c r="I35" s="18" t="e">
        <f t="shared" si="3"/>
        <v>#DIV/0!</v>
      </c>
      <c r="J35" s="18" t="e">
        <f>+(F35-E35)/E35</f>
        <v>#DIV/0!</v>
      </c>
    </row>
    <row r="36" spans="1:10" x14ac:dyDescent="0.55000000000000004">
      <c r="A36" s="22" t="s">
        <v>72</v>
      </c>
      <c r="B36" s="50"/>
      <c r="C36" s="51"/>
      <c r="D36" s="51"/>
      <c r="E36" s="51"/>
      <c r="F36" s="52"/>
    </row>
    <row r="37" spans="1:10" x14ac:dyDescent="0.55000000000000004">
      <c r="A37" t="s">
        <v>73</v>
      </c>
      <c r="B37" s="50"/>
      <c r="C37" s="51"/>
      <c r="D37" s="51"/>
      <c r="E37" s="51"/>
      <c r="F37" s="52"/>
    </row>
    <row r="38" spans="1:10" x14ac:dyDescent="0.55000000000000004">
      <c r="A38" t="s">
        <v>74</v>
      </c>
      <c r="B38" s="50"/>
      <c r="C38" s="51"/>
      <c r="D38" s="51"/>
      <c r="E38" s="51"/>
      <c r="F38" s="52"/>
    </row>
    <row r="39" spans="1:10" x14ac:dyDescent="0.55000000000000004">
      <c r="A39" t="s">
        <v>75</v>
      </c>
      <c r="B39" s="50"/>
      <c r="C39" s="51"/>
      <c r="D39" s="51"/>
      <c r="E39" s="51"/>
      <c r="F39" s="52"/>
    </row>
    <row r="40" spans="1:10" x14ac:dyDescent="0.55000000000000004">
      <c r="A40" t="s">
        <v>76</v>
      </c>
      <c r="B40" s="50"/>
      <c r="C40" s="51"/>
      <c r="D40" s="51"/>
      <c r="E40" s="51"/>
      <c r="F40" s="52"/>
    </row>
    <row r="41" spans="1:10" x14ac:dyDescent="0.55000000000000004">
      <c r="A41" t="s">
        <v>77</v>
      </c>
      <c r="B41" s="50"/>
      <c r="C41" s="51"/>
      <c r="D41" s="51"/>
      <c r="E41" s="51"/>
      <c r="F41" s="52"/>
    </row>
    <row r="42" spans="1:10" x14ac:dyDescent="0.55000000000000004">
      <c r="A42" t="s">
        <v>78</v>
      </c>
      <c r="B42" s="50"/>
      <c r="C42" s="51"/>
      <c r="D42" s="51"/>
      <c r="E42" s="51"/>
      <c r="F42" s="52"/>
    </row>
    <row r="43" spans="1:10" x14ac:dyDescent="0.55000000000000004">
      <c r="A43" t="s">
        <v>79</v>
      </c>
      <c r="B43" s="50"/>
      <c r="C43" s="51"/>
      <c r="D43" s="51"/>
      <c r="E43" s="51"/>
      <c r="F43" s="52"/>
    </row>
    <row r="44" spans="1:10" x14ac:dyDescent="0.55000000000000004">
      <c r="A44" t="s">
        <v>80</v>
      </c>
      <c r="B44" s="50"/>
      <c r="C44" s="51"/>
      <c r="D44" s="51"/>
      <c r="E44" s="51"/>
      <c r="F44" s="52"/>
    </row>
    <row r="45" spans="1:10" x14ac:dyDescent="0.55000000000000004">
      <c r="A45" t="s">
        <v>81</v>
      </c>
      <c r="B45" s="50"/>
      <c r="C45" s="51"/>
      <c r="D45" s="51"/>
      <c r="E45" s="51"/>
      <c r="F45" s="52"/>
    </row>
    <row r="46" spans="1:10" x14ac:dyDescent="0.55000000000000004">
      <c r="A46" t="s">
        <v>82</v>
      </c>
      <c r="B46" s="53"/>
      <c r="C46" s="54"/>
      <c r="D46" s="54"/>
      <c r="E46" s="54"/>
      <c r="F46" s="55"/>
    </row>
    <row r="47" spans="1:10" x14ac:dyDescent="0.55000000000000004">
      <c r="A47" t="s">
        <v>83</v>
      </c>
      <c r="B47" s="53"/>
      <c r="C47" s="54"/>
      <c r="D47" s="54"/>
      <c r="E47" s="54"/>
      <c r="F47" s="55"/>
    </row>
    <row r="48" spans="1:10" x14ac:dyDescent="0.55000000000000004">
      <c r="A48" s="22" t="s">
        <v>84</v>
      </c>
      <c r="B48" s="50"/>
      <c r="C48" s="51"/>
      <c r="D48" s="51"/>
      <c r="E48" s="51"/>
      <c r="F48" s="52"/>
    </row>
    <row r="49" spans="1:6" x14ac:dyDescent="0.55000000000000004">
      <c r="A49" t="s">
        <v>85</v>
      </c>
      <c r="B49" s="50"/>
      <c r="C49" s="51"/>
      <c r="D49" s="51"/>
      <c r="E49" s="51"/>
      <c r="F49" s="52"/>
    </row>
    <row r="50" spans="1:6" x14ac:dyDescent="0.55000000000000004">
      <c r="A50" t="s">
        <v>86</v>
      </c>
      <c r="B50" s="50"/>
      <c r="C50" s="51"/>
      <c r="D50" s="51"/>
      <c r="E50" s="51"/>
      <c r="F50" s="52"/>
    </row>
    <row r="51" spans="1:6" x14ac:dyDescent="0.55000000000000004">
      <c r="A51" t="s">
        <v>87</v>
      </c>
      <c r="B51" s="50"/>
      <c r="C51" s="51"/>
      <c r="D51" s="51"/>
      <c r="E51" s="51"/>
      <c r="F51" s="52"/>
    </row>
    <row r="52" spans="1:6" x14ac:dyDescent="0.55000000000000004">
      <c r="A52" t="s">
        <v>88</v>
      </c>
      <c r="B52" s="50"/>
      <c r="C52" s="51"/>
      <c r="D52" s="51"/>
      <c r="E52" s="51"/>
      <c r="F52" s="52"/>
    </row>
    <row r="53" spans="1:6" x14ac:dyDescent="0.55000000000000004">
      <c r="A53" t="s">
        <v>89</v>
      </c>
      <c r="B53" s="50"/>
      <c r="C53" s="51"/>
      <c r="D53" s="51"/>
      <c r="E53" s="51"/>
      <c r="F53" s="52"/>
    </row>
    <row r="54" spans="1:6" x14ac:dyDescent="0.55000000000000004">
      <c r="A54" t="s">
        <v>90</v>
      </c>
      <c r="B54" s="50"/>
      <c r="C54" s="51"/>
      <c r="D54" s="51"/>
      <c r="E54" s="51"/>
      <c r="F54" s="52"/>
    </row>
    <row r="55" spans="1:6" x14ac:dyDescent="0.55000000000000004">
      <c r="A55" t="s">
        <v>91</v>
      </c>
      <c r="B55" s="50"/>
      <c r="C55" s="51"/>
      <c r="D55" s="51"/>
      <c r="E55" s="51"/>
      <c r="F55" s="52"/>
    </row>
    <row r="56" spans="1:6" x14ac:dyDescent="0.55000000000000004">
      <c r="A56" t="s">
        <v>92</v>
      </c>
      <c r="B56" s="53"/>
      <c r="C56" s="54"/>
      <c r="D56" s="54"/>
      <c r="E56" s="51"/>
      <c r="F56" s="52"/>
    </row>
    <row r="57" spans="1:6" x14ac:dyDescent="0.55000000000000004">
      <c r="A57" t="s">
        <v>93</v>
      </c>
      <c r="B57" s="50"/>
      <c r="C57" s="51"/>
      <c r="D57" s="51"/>
      <c r="E57" s="51"/>
      <c r="F57" s="52"/>
    </row>
    <row r="58" spans="1:6" x14ac:dyDescent="0.55000000000000004">
      <c r="A58" t="s">
        <v>94</v>
      </c>
      <c r="B58" s="50"/>
      <c r="C58" s="51"/>
      <c r="D58" s="51"/>
      <c r="E58" s="51"/>
      <c r="F58" s="52"/>
    </row>
    <row r="59" spans="1:6" x14ac:dyDescent="0.55000000000000004">
      <c r="A59" t="s">
        <v>95</v>
      </c>
      <c r="B59" s="50"/>
      <c r="C59" s="51"/>
      <c r="D59" s="51"/>
      <c r="E59" s="51"/>
      <c r="F59" s="52"/>
    </row>
    <row r="60" spans="1:6" x14ac:dyDescent="0.55000000000000004">
      <c r="A60" s="22" t="s">
        <v>96</v>
      </c>
      <c r="B60" s="50"/>
      <c r="C60" s="51"/>
      <c r="D60" s="51"/>
      <c r="E60" s="51"/>
      <c r="F60" s="52"/>
    </row>
    <row r="61" spans="1:6" x14ac:dyDescent="0.55000000000000004">
      <c r="A61" t="s">
        <v>97</v>
      </c>
      <c r="B61" s="50"/>
      <c r="C61" s="51"/>
      <c r="D61" s="51"/>
      <c r="E61" s="51"/>
      <c r="F61" s="52"/>
    </row>
    <row r="62" spans="1:6" x14ac:dyDescent="0.55000000000000004">
      <c r="A62" t="s">
        <v>98</v>
      </c>
      <c r="B62" s="50"/>
      <c r="C62" s="51"/>
      <c r="D62" s="51"/>
      <c r="E62" s="51"/>
      <c r="F62" s="52"/>
    </row>
    <row r="63" spans="1:6" x14ac:dyDescent="0.55000000000000004">
      <c r="A63" t="s">
        <v>99</v>
      </c>
      <c r="B63" s="50"/>
      <c r="C63" s="51"/>
      <c r="D63" s="51"/>
      <c r="E63" s="51"/>
      <c r="F63" s="52"/>
    </row>
    <row r="64" spans="1:6" x14ac:dyDescent="0.55000000000000004">
      <c r="A64" t="s">
        <v>100</v>
      </c>
      <c r="B64" s="53"/>
      <c r="C64" s="54"/>
      <c r="D64" s="54"/>
      <c r="E64" s="54"/>
      <c r="F64" s="52"/>
    </row>
    <row r="65" spans="1:10" x14ac:dyDescent="0.55000000000000004">
      <c r="A65" t="s">
        <v>101</v>
      </c>
      <c r="B65" s="50"/>
      <c r="C65" s="51"/>
      <c r="D65" s="51"/>
      <c r="E65" s="51"/>
      <c r="F65" s="52"/>
    </row>
    <row r="66" spans="1:10" x14ac:dyDescent="0.55000000000000004">
      <c r="A66" t="s">
        <v>102</v>
      </c>
      <c r="B66" s="50"/>
      <c r="C66" s="51"/>
      <c r="D66" s="51"/>
      <c r="E66" s="51"/>
      <c r="F66" s="52"/>
    </row>
    <row r="67" spans="1:10" x14ac:dyDescent="0.55000000000000004">
      <c r="A67" t="s">
        <v>103</v>
      </c>
      <c r="B67" s="50"/>
      <c r="C67" s="51"/>
      <c r="D67" s="51"/>
      <c r="E67" s="51"/>
      <c r="F67" s="52"/>
    </row>
    <row r="68" spans="1:10" x14ac:dyDescent="0.55000000000000004">
      <c r="A68" t="s">
        <v>104</v>
      </c>
      <c r="B68" s="50"/>
      <c r="C68" s="51"/>
      <c r="D68" s="51"/>
      <c r="E68" s="51"/>
      <c r="F68" s="52"/>
    </row>
    <row r="69" spans="1:10" x14ac:dyDescent="0.55000000000000004">
      <c r="A69" t="s">
        <v>105</v>
      </c>
      <c r="B69" s="50"/>
      <c r="C69" s="51"/>
      <c r="D69" s="51"/>
      <c r="E69" s="51"/>
      <c r="F69" s="52"/>
    </row>
    <row r="70" spans="1:10" x14ac:dyDescent="0.55000000000000004">
      <c r="A70" t="s">
        <v>106</v>
      </c>
      <c r="B70" s="50"/>
      <c r="C70" s="51"/>
      <c r="D70" s="51"/>
      <c r="E70" s="51"/>
      <c r="F70" s="52"/>
    </row>
    <row r="71" spans="1:10" x14ac:dyDescent="0.55000000000000004">
      <c r="A71" t="s">
        <v>107</v>
      </c>
      <c r="B71" s="50"/>
      <c r="C71" s="51"/>
      <c r="D71" s="51"/>
      <c r="E71" s="51"/>
      <c r="F71" s="52"/>
    </row>
    <row r="72" spans="1:10" x14ac:dyDescent="0.55000000000000004">
      <c r="A72" t="s">
        <v>108</v>
      </c>
      <c r="B72" s="50"/>
      <c r="C72" s="51"/>
      <c r="D72" s="51"/>
      <c r="E72" s="51"/>
      <c r="F72" s="52"/>
    </row>
    <row r="73" spans="1:10" x14ac:dyDescent="0.55000000000000004">
      <c r="A73" t="s">
        <v>109</v>
      </c>
      <c r="B73" s="50"/>
      <c r="C73" s="51"/>
      <c r="D73" s="51"/>
      <c r="E73" s="51"/>
      <c r="F73" s="52"/>
    </row>
    <row r="74" spans="1:10" x14ac:dyDescent="0.55000000000000004">
      <c r="A74" t="s">
        <v>110</v>
      </c>
      <c r="B74" s="50"/>
      <c r="C74" s="51"/>
      <c r="D74" s="51"/>
      <c r="E74" s="51"/>
      <c r="F74" s="52"/>
    </row>
    <row r="75" spans="1:10" x14ac:dyDescent="0.55000000000000004">
      <c r="A75" t="s">
        <v>111</v>
      </c>
      <c r="B75" s="53"/>
      <c r="C75" s="54"/>
      <c r="D75" s="54"/>
      <c r="E75" s="54"/>
      <c r="F75" s="55"/>
    </row>
    <row r="76" spans="1:10" x14ac:dyDescent="0.55000000000000004">
      <c r="A76" t="s">
        <v>112</v>
      </c>
      <c r="B76" s="53"/>
      <c r="C76" s="54"/>
      <c r="D76" s="54"/>
      <c r="E76" s="54"/>
      <c r="F76" s="55"/>
    </row>
    <row r="77" spans="1:10" x14ac:dyDescent="0.55000000000000004">
      <c r="A77" s="19" t="s">
        <v>113</v>
      </c>
      <c r="B77" s="50"/>
      <c r="C77" s="51"/>
      <c r="D77" s="51"/>
      <c r="E77" s="51"/>
      <c r="F77" s="52"/>
      <c r="G77" s="18" t="e">
        <f>+(C77-B77)/B77</f>
        <v>#DIV/0!</v>
      </c>
      <c r="H77" s="18" t="e">
        <f t="shared" ref="H77:I77" si="4">+(D77-C77)/C77</f>
        <v>#DIV/0!</v>
      </c>
      <c r="I77" s="18" t="e">
        <f t="shared" si="4"/>
        <v>#DIV/0!</v>
      </c>
      <c r="J77" s="18" t="e">
        <f>+(F77-E77)/E77</f>
        <v>#DIV/0!</v>
      </c>
    </row>
    <row r="78" spans="1:10" x14ac:dyDescent="0.55000000000000004">
      <c r="A78" s="22" t="s">
        <v>114</v>
      </c>
      <c r="B78" s="50"/>
      <c r="C78" s="51"/>
      <c r="D78" s="51"/>
      <c r="E78" s="51"/>
      <c r="F78" s="52"/>
    </row>
    <row r="79" spans="1:10" x14ac:dyDescent="0.55000000000000004">
      <c r="A79" t="s">
        <v>115</v>
      </c>
      <c r="B79" s="50"/>
      <c r="C79" s="51"/>
      <c r="D79" s="51"/>
      <c r="E79" s="51"/>
      <c r="F79" s="52"/>
    </row>
    <row r="80" spans="1:10" x14ac:dyDescent="0.55000000000000004">
      <c r="A80" t="s">
        <v>116</v>
      </c>
      <c r="B80" s="50"/>
      <c r="C80" s="51"/>
      <c r="D80" s="51"/>
      <c r="E80" s="51"/>
      <c r="F80" s="52"/>
    </row>
    <row r="81" spans="1:10" x14ac:dyDescent="0.55000000000000004">
      <c r="A81" t="s">
        <v>117</v>
      </c>
      <c r="B81" s="50"/>
      <c r="C81" s="51"/>
      <c r="D81" s="51"/>
      <c r="E81" s="51"/>
      <c r="F81" s="52"/>
    </row>
    <row r="82" spans="1:10" x14ac:dyDescent="0.55000000000000004">
      <c r="A82" t="s">
        <v>118</v>
      </c>
      <c r="B82" s="50"/>
      <c r="C82" s="51"/>
      <c r="D82" s="51"/>
      <c r="E82" s="51"/>
      <c r="F82" s="52"/>
    </row>
    <row r="83" spans="1:10" x14ac:dyDescent="0.55000000000000004">
      <c r="A83" t="s">
        <v>119</v>
      </c>
      <c r="B83" s="50"/>
      <c r="C83" s="51"/>
      <c r="D83" s="51"/>
      <c r="E83" s="51"/>
      <c r="F83" s="52"/>
    </row>
    <row r="84" spans="1:10" x14ac:dyDescent="0.55000000000000004">
      <c r="A84" t="s">
        <v>120</v>
      </c>
      <c r="B84" s="50"/>
      <c r="C84" s="51"/>
      <c r="D84" s="51"/>
      <c r="E84" s="51"/>
      <c r="F84" s="52"/>
    </row>
    <row r="85" spans="1:10" x14ac:dyDescent="0.55000000000000004">
      <c r="A85" s="22" t="s">
        <v>121</v>
      </c>
      <c r="B85" s="50"/>
      <c r="C85" s="51"/>
      <c r="D85" s="51"/>
      <c r="E85" s="51"/>
      <c r="F85" s="52"/>
    </row>
    <row r="86" spans="1:10" x14ac:dyDescent="0.55000000000000004">
      <c r="A86" t="s">
        <v>122</v>
      </c>
      <c r="B86" s="50"/>
      <c r="C86" s="51"/>
      <c r="D86" s="51"/>
      <c r="E86" s="51"/>
      <c r="F86" s="52"/>
    </row>
    <row r="87" spans="1:10" x14ac:dyDescent="0.55000000000000004">
      <c r="A87" t="s">
        <v>123</v>
      </c>
      <c r="B87" s="50"/>
      <c r="C87" s="51"/>
      <c r="D87" s="51"/>
      <c r="E87" s="51"/>
      <c r="F87" s="52"/>
    </row>
    <row r="88" spans="1:10" x14ac:dyDescent="0.55000000000000004">
      <c r="A88" t="s">
        <v>124</v>
      </c>
      <c r="B88" s="50"/>
      <c r="C88" s="51"/>
      <c r="D88" s="51"/>
      <c r="E88" s="51"/>
      <c r="F88" s="52"/>
    </row>
    <row r="89" spans="1:10" x14ac:dyDescent="0.55000000000000004">
      <c r="A89" t="s">
        <v>125</v>
      </c>
      <c r="B89" s="50"/>
      <c r="C89" s="51"/>
      <c r="D89" s="51"/>
      <c r="E89" s="51"/>
      <c r="F89" s="52"/>
    </row>
    <row r="90" spans="1:10" x14ac:dyDescent="0.55000000000000004">
      <c r="A90" s="22" t="s">
        <v>126</v>
      </c>
      <c r="B90" s="50"/>
      <c r="C90" s="51"/>
      <c r="D90" s="51"/>
      <c r="E90" s="51"/>
      <c r="F90" s="52"/>
    </row>
    <row r="91" spans="1:10" x14ac:dyDescent="0.55000000000000004">
      <c r="A91" t="s">
        <v>127</v>
      </c>
      <c r="B91" s="50"/>
      <c r="C91" s="51"/>
      <c r="D91" s="51"/>
      <c r="E91" s="54"/>
      <c r="F91" s="55"/>
      <c r="G91" s="36"/>
    </row>
    <row r="92" spans="1:10" x14ac:dyDescent="0.55000000000000004">
      <c r="A92" t="s">
        <v>128</v>
      </c>
      <c r="B92" s="50"/>
      <c r="C92" s="51"/>
      <c r="D92" s="51"/>
      <c r="E92" s="54"/>
      <c r="F92" s="55"/>
    </row>
    <row r="93" spans="1:10" x14ac:dyDescent="0.55000000000000004">
      <c r="A93" t="s">
        <v>129</v>
      </c>
      <c r="B93" s="50"/>
      <c r="C93" s="51"/>
      <c r="D93" s="51"/>
      <c r="E93" s="54"/>
      <c r="F93" s="55"/>
    </row>
    <row r="94" spans="1:10" x14ac:dyDescent="0.55000000000000004">
      <c r="A94" s="19" t="s">
        <v>130</v>
      </c>
      <c r="B94" s="50"/>
      <c r="C94" s="51"/>
      <c r="D94" s="51"/>
      <c r="E94" s="51"/>
      <c r="F94" s="52"/>
      <c r="G94" s="18" t="e">
        <f>+(C94-B94)/B94</f>
        <v>#DIV/0!</v>
      </c>
      <c r="H94" s="18" t="e">
        <f t="shared" ref="H94:I94" si="5">+(D94-C94)/C94</f>
        <v>#DIV/0!</v>
      </c>
      <c r="I94" s="18" t="e">
        <f t="shared" si="5"/>
        <v>#DIV/0!</v>
      </c>
      <c r="J94" s="18" t="e">
        <f>+(F94-E94)/E94</f>
        <v>#DIV/0!</v>
      </c>
    </row>
    <row r="95" spans="1:10" ht="24.75" thickBot="1" x14ac:dyDescent="0.6">
      <c r="A95" t="s">
        <v>131</v>
      </c>
      <c r="B95" s="56"/>
      <c r="C95" s="57"/>
      <c r="D95" s="57"/>
      <c r="E95" s="57"/>
      <c r="F95" s="58"/>
    </row>
    <row r="96" spans="1:10" ht="24.75" thickBot="1" x14ac:dyDescent="0.6"/>
    <row r="97" spans="1:12" x14ac:dyDescent="0.55000000000000004">
      <c r="G97" s="100" t="s">
        <v>132</v>
      </c>
      <c r="H97" s="101"/>
      <c r="I97" s="101"/>
      <c r="J97" s="101"/>
      <c r="K97" s="102"/>
    </row>
    <row r="98" spans="1:12" x14ac:dyDescent="0.55000000000000004">
      <c r="F98" s="15" t="s">
        <v>133</v>
      </c>
      <c r="G98" s="37">
        <f>+B36-B78</f>
        <v>0</v>
      </c>
      <c r="H98" s="38">
        <f t="shared" ref="H98:K98" si="6">+C36-C78</f>
        <v>0</v>
      </c>
      <c r="I98" s="38">
        <f t="shared" si="6"/>
        <v>0</v>
      </c>
      <c r="J98" s="38">
        <f t="shared" si="6"/>
        <v>0</v>
      </c>
      <c r="K98" s="39">
        <f t="shared" si="6"/>
        <v>0</v>
      </c>
      <c r="L98" s="13"/>
    </row>
    <row r="99" spans="1:12" x14ac:dyDescent="0.55000000000000004">
      <c r="F99" s="15" t="s">
        <v>134</v>
      </c>
      <c r="G99" s="40" t="e">
        <f>+B36/B78</f>
        <v>#DIV/0!</v>
      </c>
      <c r="H99" s="41" t="e">
        <f t="shared" ref="H99:K99" si="7">+C36/C78</f>
        <v>#DIV/0!</v>
      </c>
      <c r="I99" s="41" t="e">
        <f t="shared" si="7"/>
        <v>#DIV/0!</v>
      </c>
      <c r="J99" s="41" t="e">
        <f t="shared" si="7"/>
        <v>#DIV/0!</v>
      </c>
      <c r="K99" s="42" t="e">
        <f t="shared" si="7"/>
        <v>#DIV/0!</v>
      </c>
      <c r="L99" s="13" t="s">
        <v>136</v>
      </c>
    </row>
    <row r="100" spans="1:12" ht="24.75" thickBot="1" x14ac:dyDescent="0.6">
      <c r="F100" s="15" t="s">
        <v>135</v>
      </c>
      <c r="G100" s="43" t="e">
        <f>+B35/B77</f>
        <v>#DIV/0!</v>
      </c>
      <c r="H100" s="44" t="e">
        <f t="shared" ref="H100:K100" si="8">+C35/C77</f>
        <v>#DIV/0!</v>
      </c>
      <c r="I100" s="44" t="e">
        <f t="shared" si="8"/>
        <v>#DIV/0!</v>
      </c>
      <c r="J100" s="44" t="e">
        <f t="shared" si="8"/>
        <v>#DIV/0!</v>
      </c>
      <c r="K100" s="45" t="e">
        <f t="shared" si="8"/>
        <v>#DIV/0!</v>
      </c>
      <c r="L100" s="13" t="s">
        <v>137</v>
      </c>
    </row>
    <row r="102" spans="1:12" ht="24.75" thickBot="1" x14ac:dyDescent="0.6">
      <c r="A102" s="12" t="s">
        <v>38</v>
      </c>
    </row>
    <row r="103" spans="1:12" x14ac:dyDescent="0.55000000000000004">
      <c r="A103" s="46" t="s">
        <v>138</v>
      </c>
      <c r="B103" s="47"/>
      <c r="C103" s="48"/>
      <c r="D103" s="48"/>
      <c r="E103" s="48"/>
      <c r="F103" s="49"/>
      <c r="G103" s="18" t="e">
        <f>+(C103-B103)/B103</f>
        <v>#DIV/0!</v>
      </c>
      <c r="H103" s="18" t="e">
        <f t="shared" ref="H103:I103" si="9">+(D103-C103)/C103</f>
        <v>#DIV/0!</v>
      </c>
      <c r="I103" s="18" t="e">
        <f t="shared" si="9"/>
        <v>#DIV/0!</v>
      </c>
      <c r="J103" s="18" t="e">
        <f>+(F103-E103)/E103</f>
        <v>#DIV/0!</v>
      </c>
    </row>
    <row r="104" spans="1:12" x14ac:dyDescent="0.55000000000000004">
      <c r="A104" t="s">
        <v>139</v>
      </c>
      <c r="B104" s="50"/>
      <c r="C104" s="51"/>
      <c r="D104" s="51"/>
      <c r="E104" s="51"/>
      <c r="F104" s="52"/>
      <c r="G104" s="23"/>
    </row>
    <row r="105" spans="1:12" x14ac:dyDescent="0.55000000000000004">
      <c r="A105" t="s">
        <v>140</v>
      </c>
      <c r="B105" s="50"/>
      <c r="C105" s="51"/>
      <c r="D105" s="51"/>
      <c r="E105" s="51"/>
      <c r="F105" s="52"/>
      <c r="G105" s="23"/>
    </row>
    <row r="106" spans="1:12" x14ac:dyDescent="0.55000000000000004">
      <c r="A106" t="s">
        <v>141</v>
      </c>
      <c r="B106" s="50"/>
      <c r="C106" s="51"/>
      <c r="D106" s="51"/>
      <c r="E106" s="51"/>
      <c r="F106" s="52"/>
      <c r="G106" s="23"/>
    </row>
    <row r="107" spans="1:12" x14ac:dyDescent="0.55000000000000004">
      <c r="A107" t="s">
        <v>142</v>
      </c>
      <c r="B107" s="50"/>
      <c r="C107" s="51"/>
      <c r="D107" s="51"/>
      <c r="E107" s="51"/>
      <c r="F107" s="52"/>
      <c r="G107" s="23"/>
    </row>
    <row r="108" spans="1:12" x14ac:dyDescent="0.55000000000000004">
      <c r="A108" t="s">
        <v>143</v>
      </c>
      <c r="B108" s="50"/>
      <c r="C108" s="51"/>
      <c r="D108" s="51"/>
      <c r="E108" s="51"/>
      <c r="F108" s="52"/>
      <c r="G108" s="23"/>
    </row>
    <row r="109" spans="1:12" x14ac:dyDescent="0.55000000000000004">
      <c r="A109" t="s">
        <v>144</v>
      </c>
      <c r="B109" s="50"/>
      <c r="C109" s="51"/>
      <c r="D109" s="51"/>
      <c r="E109" s="51"/>
      <c r="F109" s="52"/>
      <c r="G109" s="23"/>
    </row>
    <row r="110" spans="1:12" x14ac:dyDescent="0.55000000000000004">
      <c r="A110" t="s">
        <v>145</v>
      </c>
      <c r="B110" s="53"/>
      <c r="C110" s="54"/>
      <c r="D110" s="54"/>
      <c r="E110" s="54"/>
      <c r="F110" s="55"/>
      <c r="G110"/>
    </row>
    <row r="111" spans="1:12" x14ac:dyDescent="0.55000000000000004">
      <c r="A111" t="s">
        <v>146</v>
      </c>
      <c r="B111" s="50"/>
      <c r="C111" s="51"/>
      <c r="D111" s="51"/>
      <c r="E111" s="51"/>
      <c r="F111" s="52"/>
      <c r="G111" s="23"/>
    </row>
    <row r="112" spans="1:12" x14ac:dyDescent="0.55000000000000004">
      <c r="A112" t="s">
        <v>147</v>
      </c>
      <c r="B112" s="50"/>
      <c r="C112" s="51"/>
      <c r="D112" s="51"/>
      <c r="E112" s="51"/>
      <c r="F112" s="52"/>
      <c r="G112" s="23"/>
    </row>
    <row r="113" spans="1:7" x14ac:dyDescent="0.55000000000000004">
      <c r="A113" t="s">
        <v>148</v>
      </c>
      <c r="B113" s="50"/>
      <c r="C113" s="51"/>
      <c r="D113" s="51"/>
      <c r="E113" s="51"/>
      <c r="F113" s="52"/>
      <c r="G113" s="23"/>
    </row>
    <row r="114" spans="1:7" x14ac:dyDescent="0.55000000000000004">
      <c r="A114" t="s">
        <v>149</v>
      </c>
      <c r="B114" s="50"/>
      <c r="C114" s="54"/>
      <c r="D114" s="54"/>
      <c r="E114" s="54"/>
      <c r="F114" s="55"/>
      <c r="G114"/>
    </row>
    <row r="115" spans="1:7" x14ac:dyDescent="0.55000000000000004">
      <c r="A115" t="s">
        <v>150</v>
      </c>
      <c r="B115" s="53"/>
      <c r="C115" s="54"/>
      <c r="D115" s="54"/>
      <c r="E115" s="54"/>
      <c r="F115" s="55"/>
      <c r="G115"/>
    </row>
    <row r="116" spans="1:7" x14ac:dyDescent="0.55000000000000004">
      <c r="A116" t="s">
        <v>151</v>
      </c>
      <c r="B116" s="53"/>
      <c r="C116" s="54"/>
      <c r="D116" s="54"/>
      <c r="E116" s="54"/>
      <c r="F116" s="55"/>
      <c r="G116"/>
    </row>
    <row r="117" spans="1:7" x14ac:dyDescent="0.55000000000000004">
      <c r="A117" t="s">
        <v>152</v>
      </c>
      <c r="B117" s="53"/>
      <c r="C117" s="54"/>
      <c r="D117" s="54"/>
      <c r="E117" s="54"/>
      <c r="F117" s="55"/>
      <c r="G117"/>
    </row>
    <row r="118" spans="1:7" x14ac:dyDescent="0.55000000000000004">
      <c r="A118" t="s">
        <v>153</v>
      </c>
      <c r="B118" s="53"/>
      <c r="C118" s="54"/>
      <c r="D118" s="54"/>
      <c r="E118" s="54"/>
      <c r="F118" s="55"/>
      <c r="G118"/>
    </row>
    <row r="119" spans="1:7" x14ac:dyDescent="0.55000000000000004">
      <c r="A119" t="s">
        <v>154</v>
      </c>
      <c r="B119" s="53"/>
      <c r="C119" s="54"/>
      <c r="D119" s="54"/>
      <c r="E119" s="54"/>
      <c r="F119" s="55"/>
      <c r="G119"/>
    </row>
    <row r="120" spans="1:7" x14ac:dyDescent="0.55000000000000004">
      <c r="A120" t="s">
        <v>155</v>
      </c>
      <c r="B120" s="50"/>
      <c r="C120" s="51"/>
      <c r="D120" s="51"/>
      <c r="E120" s="51"/>
      <c r="F120" s="52"/>
      <c r="G120" s="23"/>
    </row>
    <row r="121" spans="1:7" x14ac:dyDescent="0.55000000000000004">
      <c r="A121" t="s">
        <v>156</v>
      </c>
      <c r="B121" s="50"/>
      <c r="C121" s="51"/>
      <c r="D121" s="51"/>
      <c r="E121" s="51"/>
      <c r="F121" s="52"/>
      <c r="G121" s="23"/>
    </row>
    <row r="122" spans="1:7" x14ac:dyDescent="0.55000000000000004">
      <c r="A122" t="s">
        <v>157</v>
      </c>
      <c r="B122" s="50"/>
      <c r="C122" s="51"/>
      <c r="D122" s="51"/>
      <c r="E122" s="51"/>
      <c r="F122" s="52"/>
      <c r="G122" s="23"/>
    </row>
    <row r="123" spans="1:7" x14ac:dyDescent="0.55000000000000004">
      <c r="A123" t="s">
        <v>158</v>
      </c>
      <c r="B123" s="50"/>
      <c r="C123" s="51"/>
      <c r="D123" s="51"/>
      <c r="E123" s="51"/>
      <c r="F123" s="52"/>
      <c r="G123" s="23"/>
    </row>
    <row r="124" spans="1:7" x14ac:dyDescent="0.55000000000000004">
      <c r="A124" t="s">
        <v>159</v>
      </c>
      <c r="B124" s="50"/>
      <c r="C124" s="51"/>
      <c r="D124" s="51"/>
      <c r="E124" s="51"/>
      <c r="F124" s="52"/>
      <c r="G124" s="23"/>
    </row>
    <row r="125" spans="1:7" x14ac:dyDescent="0.55000000000000004">
      <c r="A125" t="s">
        <v>160</v>
      </c>
      <c r="B125" s="50"/>
      <c r="C125" s="51"/>
      <c r="D125" s="51"/>
      <c r="E125" s="51"/>
      <c r="F125" s="52"/>
      <c r="G125" s="23"/>
    </row>
    <row r="126" spans="1:7" x14ac:dyDescent="0.55000000000000004">
      <c r="A126" t="s">
        <v>161</v>
      </c>
      <c r="B126" s="50"/>
      <c r="C126" s="51"/>
      <c r="D126" s="51"/>
      <c r="E126" s="51"/>
      <c r="F126" s="52"/>
      <c r="G126" s="23"/>
    </row>
    <row r="127" spans="1:7" x14ac:dyDescent="0.55000000000000004">
      <c r="A127" t="s">
        <v>162</v>
      </c>
      <c r="B127" s="50"/>
      <c r="C127" s="51"/>
      <c r="D127" s="51"/>
      <c r="E127" s="51"/>
      <c r="F127" s="52"/>
      <c r="G127" s="23"/>
    </row>
    <row r="128" spans="1:7" x14ac:dyDescent="0.55000000000000004">
      <c r="A128" t="s">
        <v>163</v>
      </c>
      <c r="B128" s="50"/>
      <c r="C128" s="51"/>
      <c r="D128" s="51"/>
      <c r="E128" s="51"/>
      <c r="F128" s="52"/>
      <c r="G128" s="23"/>
    </row>
    <row r="129" spans="1:10" x14ac:dyDescent="0.55000000000000004">
      <c r="A129" t="s">
        <v>164</v>
      </c>
      <c r="B129" s="53"/>
      <c r="C129" s="54"/>
      <c r="D129" s="54"/>
      <c r="E129" s="54"/>
      <c r="F129" s="55"/>
      <c r="G129"/>
    </row>
    <row r="130" spans="1:10" x14ac:dyDescent="0.55000000000000004">
      <c r="A130" s="46" t="s">
        <v>165</v>
      </c>
      <c r="B130" s="50"/>
      <c r="C130" s="51"/>
      <c r="D130" s="51"/>
      <c r="E130" s="51"/>
      <c r="F130" s="52"/>
      <c r="G130" s="18" t="e">
        <f>+(C130-B130)/B130</f>
        <v>#DIV/0!</v>
      </c>
      <c r="H130" s="18" t="e">
        <f t="shared" ref="H130:I130" si="10">+(D130-C130)/C130</f>
        <v>#DIV/0!</v>
      </c>
      <c r="I130" s="18" t="e">
        <f t="shared" si="10"/>
        <v>#DIV/0!</v>
      </c>
      <c r="J130" s="18" t="e">
        <f>+(F130-E130)/E130</f>
        <v>#DIV/0!</v>
      </c>
    </row>
    <row r="131" spans="1:10" x14ac:dyDescent="0.55000000000000004">
      <c r="A131" t="s">
        <v>166</v>
      </c>
      <c r="B131" s="50"/>
      <c r="C131" s="51"/>
      <c r="D131" s="51"/>
      <c r="E131" s="51"/>
      <c r="F131" s="52"/>
      <c r="G131" s="23"/>
    </row>
    <row r="132" spans="1:10" x14ac:dyDescent="0.55000000000000004">
      <c r="A132" t="s">
        <v>167</v>
      </c>
      <c r="B132" s="50"/>
      <c r="C132" s="51"/>
      <c r="D132" s="51"/>
      <c r="E132" s="51"/>
      <c r="F132" s="52"/>
      <c r="G132" s="23"/>
    </row>
    <row r="133" spans="1:10" x14ac:dyDescent="0.55000000000000004">
      <c r="A133" t="s">
        <v>168</v>
      </c>
      <c r="B133" s="50"/>
      <c r="C133" s="51"/>
      <c r="D133" s="51"/>
      <c r="E133" s="51"/>
      <c r="F133" s="52"/>
      <c r="G133" s="23"/>
    </row>
    <row r="134" spans="1:10" x14ac:dyDescent="0.55000000000000004">
      <c r="A134" t="s">
        <v>169</v>
      </c>
      <c r="B134" s="53"/>
      <c r="C134" s="51"/>
      <c r="D134" s="51"/>
      <c r="E134" s="51"/>
      <c r="F134" s="52"/>
      <c r="G134" s="23"/>
    </row>
    <row r="135" spans="1:10" x14ac:dyDescent="0.55000000000000004">
      <c r="A135" t="s">
        <v>170</v>
      </c>
      <c r="B135" s="50"/>
      <c r="C135" s="51"/>
      <c r="D135" s="51"/>
      <c r="E135" s="51"/>
      <c r="F135" s="52"/>
      <c r="G135" s="23"/>
    </row>
    <row r="136" spans="1:10" x14ac:dyDescent="0.55000000000000004">
      <c r="A136" t="s">
        <v>171</v>
      </c>
      <c r="B136" s="50"/>
      <c r="C136" s="51"/>
      <c r="D136" s="51"/>
      <c r="E136" s="51"/>
      <c r="F136" s="52"/>
      <c r="G136" s="23"/>
    </row>
    <row r="137" spans="1:10" x14ac:dyDescent="0.55000000000000004">
      <c r="A137" t="s">
        <v>172</v>
      </c>
      <c r="B137" s="50"/>
      <c r="C137" s="51"/>
      <c r="D137" s="51"/>
      <c r="E137" s="51"/>
      <c r="F137" s="52"/>
      <c r="G137" s="23"/>
    </row>
    <row r="138" spans="1:10" x14ac:dyDescent="0.55000000000000004">
      <c r="A138" t="s">
        <v>173</v>
      </c>
      <c r="B138" s="50"/>
      <c r="C138" s="51"/>
      <c r="D138" s="51"/>
      <c r="E138" s="51"/>
      <c r="F138" s="52"/>
      <c r="G138" s="23"/>
    </row>
    <row r="139" spans="1:10" x14ac:dyDescent="0.55000000000000004">
      <c r="A139" t="s">
        <v>174</v>
      </c>
      <c r="B139" s="50"/>
      <c r="C139" s="51"/>
      <c r="D139" s="51"/>
      <c r="E139" s="51"/>
      <c r="F139" s="52"/>
      <c r="G139" s="23"/>
    </row>
    <row r="140" spans="1:10" x14ac:dyDescent="0.55000000000000004">
      <c r="A140" s="46" t="s">
        <v>175</v>
      </c>
      <c r="B140" s="50"/>
      <c r="C140" s="51"/>
      <c r="D140" s="51"/>
      <c r="E140" s="51"/>
      <c r="F140" s="52"/>
      <c r="G140" s="18" t="e">
        <f>+(C140-B140)/B140</f>
        <v>#DIV/0!</v>
      </c>
      <c r="H140" s="18" t="e">
        <f t="shared" ref="H140:I140" si="11">+(D140-C140)/C140</f>
        <v>#DIV/0!</v>
      </c>
      <c r="I140" s="18" t="e">
        <f t="shared" si="11"/>
        <v>#DIV/0!</v>
      </c>
      <c r="J140" s="18" t="e">
        <f>+(F140-E140)/E140</f>
        <v>#DIV/0!</v>
      </c>
    </row>
    <row r="141" spans="1:10" x14ac:dyDescent="0.55000000000000004">
      <c r="A141" t="s">
        <v>176</v>
      </c>
      <c r="B141" s="50"/>
      <c r="C141" s="51"/>
      <c r="D141" s="51"/>
      <c r="E141" s="51"/>
      <c r="F141" s="52"/>
      <c r="G141" s="23"/>
    </row>
    <row r="142" spans="1:10" x14ac:dyDescent="0.55000000000000004">
      <c r="A142" t="s">
        <v>177</v>
      </c>
      <c r="B142" s="50"/>
      <c r="C142" s="51"/>
      <c r="D142" s="51"/>
      <c r="E142" s="51"/>
      <c r="F142" s="52"/>
      <c r="G142" s="23"/>
    </row>
    <row r="143" spans="1:10" x14ac:dyDescent="0.55000000000000004">
      <c r="A143" t="s">
        <v>178</v>
      </c>
      <c r="B143" s="53"/>
      <c r="C143" s="54"/>
      <c r="D143" s="54"/>
      <c r="E143" s="54"/>
      <c r="F143" s="52"/>
      <c r="G143" s="23"/>
    </row>
    <row r="144" spans="1:10" x14ac:dyDescent="0.55000000000000004">
      <c r="A144" t="s">
        <v>179</v>
      </c>
      <c r="B144" s="53"/>
      <c r="C144" s="54"/>
      <c r="D144" s="54"/>
      <c r="E144" s="54"/>
      <c r="F144" s="52"/>
      <c r="G144" s="23"/>
    </row>
    <row r="145" spans="1:7" x14ac:dyDescent="0.55000000000000004">
      <c r="A145" t="s">
        <v>180</v>
      </c>
      <c r="B145" s="53"/>
      <c r="C145" s="54"/>
      <c r="D145" s="54"/>
      <c r="E145" s="54"/>
      <c r="F145" s="52"/>
      <c r="G145" s="23"/>
    </row>
    <row r="146" spans="1:7" x14ac:dyDescent="0.55000000000000004">
      <c r="A146" t="s">
        <v>181</v>
      </c>
      <c r="B146" s="50"/>
      <c r="C146" s="51"/>
      <c r="D146" s="51"/>
      <c r="E146" s="51"/>
      <c r="F146" s="52"/>
      <c r="G146" s="23"/>
    </row>
    <row r="147" spans="1:7" x14ac:dyDescent="0.55000000000000004">
      <c r="A147" t="s">
        <v>182</v>
      </c>
      <c r="B147" s="50"/>
      <c r="C147" s="51"/>
      <c r="D147" s="51"/>
      <c r="E147" s="51"/>
      <c r="F147" s="52"/>
      <c r="G147" s="23"/>
    </row>
    <row r="148" spans="1:7" x14ac:dyDescent="0.55000000000000004">
      <c r="A148" t="s">
        <v>183</v>
      </c>
      <c r="B148" s="50"/>
      <c r="C148" s="51"/>
      <c r="D148" s="51"/>
      <c r="E148" s="51"/>
      <c r="F148" s="52"/>
      <c r="G148" s="23"/>
    </row>
    <row r="149" spans="1:7" x14ac:dyDescent="0.55000000000000004">
      <c r="A149" t="s">
        <v>184</v>
      </c>
      <c r="B149" s="50"/>
      <c r="C149" s="51"/>
      <c r="D149" s="51"/>
      <c r="E149" s="51"/>
      <c r="F149" s="52"/>
      <c r="G149" s="23"/>
    </row>
    <row r="150" spans="1:7" x14ac:dyDescent="0.55000000000000004">
      <c r="A150" t="s">
        <v>185</v>
      </c>
      <c r="B150" s="50"/>
      <c r="C150" s="51"/>
      <c r="D150" s="51"/>
      <c r="E150" s="51"/>
      <c r="F150" s="52"/>
      <c r="G150" s="23"/>
    </row>
    <row r="151" spans="1:7" ht="24.75" thickBot="1" x14ac:dyDescent="0.6">
      <c r="A151" t="s">
        <v>186</v>
      </c>
      <c r="B151" s="56"/>
      <c r="C151" s="59"/>
      <c r="D151" s="59"/>
      <c r="E151" s="59"/>
      <c r="F151" s="60"/>
      <c r="G151"/>
    </row>
  </sheetData>
  <mergeCells count="4">
    <mergeCell ref="A3:J3"/>
    <mergeCell ref="B4:F4"/>
    <mergeCell ref="G4:K4"/>
    <mergeCell ref="G97:K97"/>
  </mergeCells>
  <conditionalFormatting sqref="G7:J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:J1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J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1:J3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5:J3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7:J7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4:J9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3:J10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0:J1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0:J1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9658-329A-47EF-934D-54833FF087B2}">
  <sheetPr>
    <tabColor rgb="FF651EA0"/>
  </sheetPr>
  <dimension ref="A1:T28"/>
  <sheetViews>
    <sheetView showGridLines="0" tabSelected="1" workbookViewId="0"/>
  </sheetViews>
  <sheetFormatPr baseColWidth="10" defaultRowHeight="14.25" x14ac:dyDescent="0.2"/>
  <cols>
    <col min="5" max="5" width="13.875" customWidth="1"/>
    <col min="6" max="6" width="10.625" customWidth="1"/>
    <col min="7" max="7" width="25.875" customWidth="1"/>
    <col min="9" max="10" width="22" customWidth="1"/>
    <col min="12" max="13" width="22" customWidth="1"/>
    <col min="15" max="16" width="22" customWidth="1"/>
    <col min="18" max="19" width="22" customWidth="1"/>
  </cols>
  <sheetData>
    <row r="1" spans="1:19" ht="39" x14ac:dyDescent="0.9">
      <c r="A1" s="80" t="s">
        <v>637</v>
      </c>
    </row>
    <row r="3" spans="1:19" ht="21" thickBot="1" x14ac:dyDescent="0.55000000000000004">
      <c r="C3" s="81" t="s">
        <v>690</v>
      </c>
      <c r="E3" s="82"/>
    </row>
    <row r="4" spans="1:19" ht="25.5" customHeight="1" x14ac:dyDescent="0.5">
      <c r="C4" s="81" t="s">
        <v>638</v>
      </c>
      <c r="G4" s="83" t="s">
        <v>648</v>
      </c>
      <c r="H4" s="83" t="s">
        <v>649</v>
      </c>
      <c r="I4" s="83" t="s">
        <v>650</v>
      </c>
      <c r="J4" s="83" t="s">
        <v>651</v>
      </c>
      <c r="L4" s="108" t="s">
        <v>691</v>
      </c>
      <c r="M4" s="108"/>
      <c r="O4" s="109" t="s">
        <v>692</v>
      </c>
      <c r="P4" s="110"/>
      <c r="Q4" s="110"/>
      <c r="R4" s="110"/>
      <c r="S4" s="111"/>
    </row>
    <row r="5" spans="1:19" ht="25.5" customHeight="1" x14ac:dyDescent="0.2">
      <c r="B5" s="84" t="s">
        <v>693</v>
      </c>
      <c r="C5" s="85" t="s">
        <v>694</v>
      </c>
      <c r="G5" s="65" t="s">
        <v>695</v>
      </c>
      <c r="H5" s="68"/>
      <c r="I5" s="66" t="s">
        <v>696</v>
      </c>
      <c r="J5" s="99" t="s">
        <v>652</v>
      </c>
      <c r="L5" s="77" t="s">
        <v>697</v>
      </c>
      <c r="M5" s="77" t="s">
        <v>698</v>
      </c>
      <c r="O5" s="112" t="s">
        <v>699</v>
      </c>
      <c r="P5" s="86" t="s">
        <v>700</v>
      </c>
      <c r="Q5" s="87"/>
      <c r="R5" s="87"/>
      <c r="S5" s="88"/>
    </row>
    <row r="6" spans="1:19" ht="25.5" customHeight="1" x14ac:dyDescent="0.5">
      <c r="B6" s="62">
        <v>1</v>
      </c>
      <c r="C6" s="81" t="s">
        <v>639</v>
      </c>
      <c r="G6" s="65" t="s">
        <v>640</v>
      </c>
      <c r="H6" s="68"/>
      <c r="I6" s="66" t="s">
        <v>644</v>
      </c>
      <c r="J6" s="99" t="s">
        <v>652</v>
      </c>
      <c r="L6" s="77" t="s">
        <v>701</v>
      </c>
      <c r="M6" s="77" t="s">
        <v>702</v>
      </c>
      <c r="O6" s="112"/>
      <c r="P6" s="89" t="s">
        <v>703</v>
      </c>
      <c r="Q6" s="90"/>
      <c r="R6" s="90"/>
      <c r="S6" s="91"/>
    </row>
    <row r="7" spans="1:19" ht="25.5" customHeight="1" x14ac:dyDescent="0.5">
      <c r="B7" s="62">
        <v>2</v>
      </c>
      <c r="C7" s="81" t="s">
        <v>646</v>
      </c>
      <c r="G7" s="65" t="s">
        <v>641</v>
      </c>
      <c r="H7" s="68"/>
      <c r="I7" s="66" t="s">
        <v>672</v>
      </c>
      <c r="J7" s="99" t="s">
        <v>652</v>
      </c>
      <c r="L7" s="77" t="s">
        <v>704</v>
      </c>
      <c r="M7" s="77" t="s">
        <v>705</v>
      </c>
      <c r="O7" s="92" t="s">
        <v>706</v>
      </c>
      <c r="P7" s="93" t="s">
        <v>707</v>
      </c>
      <c r="Q7" s="94"/>
      <c r="R7" s="94"/>
      <c r="S7" s="95"/>
    </row>
    <row r="8" spans="1:19" ht="25.5" customHeight="1" x14ac:dyDescent="0.5">
      <c r="B8" s="62">
        <v>3</v>
      </c>
      <c r="C8" s="81" t="s">
        <v>642</v>
      </c>
      <c r="G8" s="65" t="s">
        <v>643</v>
      </c>
      <c r="H8" s="68"/>
      <c r="I8" s="66" t="s">
        <v>642</v>
      </c>
      <c r="J8" s="66" t="s">
        <v>652</v>
      </c>
      <c r="L8" s="77" t="s">
        <v>708</v>
      </c>
      <c r="M8" s="77" t="s">
        <v>709</v>
      </c>
      <c r="O8" s="113" t="s">
        <v>710</v>
      </c>
      <c r="P8" s="96" t="s">
        <v>711</v>
      </c>
      <c r="Q8" s="87"/>
      <c r="R8" s="87"/>
      <c r="S8" s="88"/>
    </row>
    <row r="9" spans="1:19" ht="25.5" customHeight="1" x14ac:dyDescent="0.5">
      <c r="B9" s="62">
        <v>4</v>
      </c>
      <c r="C9" s="81" t="s">
        <v>645</v>
      </c>
      <c r="G9" s="65" t="s">
        <v>647</v>
      </c>
      <c r="H9" s="69"/>
      <c r="I9" s="66" t="s">
        <v>673</v>
      </c>
      <c r="J9" s="99" t="s">
        <v>653</v>
      </c>
      <c r="O9" s="114"/>
      <c r="P9" s="97" t="s">
        <v>712</v>
      </c>
      <c r="S9" s="55"/>
    </row>
    <row r="10" spans="1:19" ht="25.5" customHeight="1" x14ac:dyDescent="0.5">
      <c r="B10" s="62">
        <v>5</v>
      </c>
      <c r="C10" s="81" t="s">
        <v>654</v>
      </c>
      <c r="G10" s="65" t="s">
        <v>655</v>
      </c>
      <c r="H10" s="70"/>
      <c r="I10" s="66" t="s">
        <v>674</v>
      </c>
      <c r="J10" s="66" t="s">
        <v>658</v>
      </c>
      <c r="O10" s="115"/>
      <c r="P10" s="89" t="s">
        <v>713</v>
      </c>
      <c r="Q10" s="90"/>
      <c r="R10" s="90"/>
      <c r="S10" s="91"/>
    </row>
    <row r="11" spans="1:19" ht="25.5" customHeight="1" x14ac:dyDescent="0.5">
      <c r="B11" s="62">
        <v>6</v>
      </c>
      <c r="C11" s="81" t="s">
        <v>657</v>
      </c>
      <c r="G11" s="65" t="s">
        <v>656</v>
      </c>
      <c r="H11" s="69"/>
      <c r="I11" s="66" t="s">
        <v>675</v>
      </c>
      <c r="J11" s="66" t="s">
        <v>714</v>
      </c>
      <c r="O11" s="113" t="s">
        <v>715</v>
      </c>
      <c r="P11" s="96" t="s">
        <v>716</v>
      </c>
      <c r="Q11" s="87"/>
      <c r="R11" s="87"/>
      <c r="S11" s="88"/>
    </row>
    <row r="12" spans="1:19" ht="25.5" customHeight="1" thickBot="1" x14ac:dyDescent="0.55000000000000004">
      <c r="B12" s="62">
        <v>7</v>
      </c>
      <c r="C12" s="81" t="s">
        <v>659</v>
      </c>
      <c r="G12" s="65" t="s">
        <v>660</v>
      </c>
      <c r="H12" s="68"/>
      <c r="I12" s="66" t="s">
        <v>661</v>
      </c>
      <c r="J12" s="66" t="s">
        <v>717</v>
      </c>
      <c r="O12" s="116"/>
      <c r="P12" s="98" t="s">
        <v>718</v>
      </c>
      <c r="Q12" s="59"/>
      <c r="R12" s="59"/>
      <c r="S12" s="60"/>
    </row>
    <row r="13" spans="1:19" ht="25.5" customHeight="1" x14ac:dyDescent="0.5">
      <c r="B13" s="62">
        <v>8</v>
      </c>
      <c r="C13" s="81" t="s">
        <v>688</v>
      </c>
      <c r="G13" s="65" t="s">
        <v>664</v>
      </c>
      <c r="H13" s="71"/>
      <c r="I13" s="66" t="s">
        <v>662</v>
      </c>
      <c r="J13" s="99" t="s">
        <v>653</v>
      </c>
      <c r="O13" s="97"/>
      <c r="P13" s="97"/>
    </row>
    <row r="14" spans="1:19" ht="25.5" customHeight="1" x14ac:dyDescent="0.5">
      <c r="B14" s="62"/>
      <c r="C14" s="85"/>
      <c r="G14" s="65" t="s">
        <v>665</v>
      </c>
      <c r="H14" s="71"/>
      <c r="I14" s="66" t="s">
        <v>667</v>
      </c>
      <c r="J14" s="66" t="s">
        <v>653</v>
      </c>
      <c r="O14" s="97"/>
      <c r="P14" s="97"/>
    </row>
    <row r="15" spans="1:19" ht="25.5" customHeight="1" x14ac:dyDescent="0.5">
      <c r="B15" s="62"/>
      <c r="C15" s="85"/>
      <c r="G15" s="65" t="s">
        <v>666</v>
      </c>
      <c r="H15" s="71"/>
      <c r="I15" s="66" t="s">
        <v>668</v>
      </c>
      <c r="J15" s="99" t="s">
        <v>653</v>
      </c>
    </row>
    <row r="16" spans="1:19" ht="25.5" customHeight="1" x14ac:dyDescent="0.5">
      <c r="B16" s="62"/>
      <c r="C16" s="85"/>
      <c r="G16" s="65" t="s">
        <v>682</v>
      </c>
      <c r="H16" s="71"/>
      <c r="I16" s="66" t="s">
        <v>683</v>
      </c>
      <c r="J16" s="66" t="s">
        <v>658</v>
      </c>
    </row>
    <row r="17" spans="2:20" x14ac:dyDescent="0.2">
      <c r="G17" s="63"/>
      <c r="H17" s="63"/>
      <c r="I17" s="63"/>
      <c r="J17" s="63"/>
    </row>
    <row r="18" spans="2:20" ht="25.5" customHeight="1" x14ac:dyDescent="0.2">
      <c r="H18" s="117" t="s">
        <v>719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</row>
    <row r="19" spans="2:20" ht="30.75" customHeight="1" x14ac:dyDescent="0.2">
      <c r="B19" s="67">
        <v>9</v>
      </c>
      <c r="C19" s="85" t="s">
        <v>687</v>
      </c>
      <c r="G19" s="63"/>
      <c r="H19" s="78" t="s">
        <v>663</v>
      </c>
      <c r="I19" s="79" t="s">
        <v>671</v>
      </c>
      <c r="J19" s="79" t="s">
        <v>669</v>
      </c>
      <c r="K19" s="79" t="s">
        <v>670</v>
      </c>
      <c r="L19" s="72" t="s">
        <v>676</v>
      </c>
      <c r="M19" s="72" t="s">
        <v>677</v>
      </c>
      <c r="N19" s="72" t="s">
        <v>681</v>
      </c>
      <c r="O19" s="79" t="s">
        <v>678</v>
      </c>
      <c r="P19" s="79" t="s">
        <v>679</v>
      </c>
      <c r="Q19" s="79" t="s">
        <v>680</v>
      </c>
      <c r="R19" s="72" t="s">
        <v>684</v>
      </c>
      <c r="S19" s="72" t="s">
        <v>685</v>
      </c>
      <c r="T19" s="72" t="s">
        <v>686</v>
      </c>
    </row>
    <row r="20" spans="2:20" ht="20.25" customHeight="1" x14ac:dyDescent="0.2">
      <c r="G20" s="63"/>
      <c r="H20" s="73">
        <v>0</v>
      </c>
      <c r="I20" s="74"/>
      <c r="J20" s="74"/>
      <c r="K20" s="75"/>
      <c r="L20" s="74"/>
      <c r="M20" s="74"/>
      <c r="N20" s="76"/>
      <c r="O20" s="74"/>
      <c r="P20" s="74"/>
      <c r="Q20" s="75"/>
      <c r="R20" s="74"/>
      <c r="S20" s="74"/>
      <c r="T20" s="75"/>
    </row>
    <row r="21" spans="2:20" ht="20.25" customHeight="1" x14ac:dyDescent="0.2">
      <c r="G21" s="63"/>
      <c r="H21" s="73">
        <v>1</v>
      </c>
      <c r="I21" s="74"/>
      <c r="J21" s="74"/>
      <c r="K21" s="75"/>
      <c r="L21" s="74"/>
      <c r="M21" s="74"/>
      <c r="N21" s="75"/>
      <c r="O21" s="74"/>
      <c r="P21" s="74"/>
      <c r="Q21" s="75"/>
      <c r="R21" s="74"/>
      <c r="S21" s="74"/>
      <c r="T21" s="75"/>
    </row>
    <row r="22" spans="2:20" ht="20.25" customHeight="1" x14ac:dyDescent="0.2">
      <c r="H22" s="77">
        <v>2</v>
      </c>
      <c r="I22" s="74"/>
      <c r="J22" s="74"/>
      <c r="K22" s="75"/>
      <c r="L22" s="74"/>
      <c r="M22" s="74"/>
      <c r="N22" s="75"/>
      <c r="O22" s="74"/>
      <c r="P22" s="74"/>
      <c r="Q22" s="75"/>
      <c r="R22" s="74"/>
      <c r="S22" s="74"/>
      <c r="T22" s="75"/>
    </row>
    <row r="23" spans="2:20" ht="20.25" customHeight="1" x14ac:dyDescent="0.2">
      <c r="H23" s="73">
        <v>3</v>
      </c>
      <c r="I23" s="74"/>
      <c r="J23" s="74"/>
      <c r="K23" s="75"/>
      <c r="L23" s="74"/>
      <c r="M23" s="74"/>
      <c r="N23" s="75"/>
      <c r="O23" s="74"/>
      <c r="P23" s="74"/>
      <c r="Q23" s="75"/>
      <c r="R23" s="74"/>
      <c r="S23" s="74"/>
      <c r="T23" s="75"/>
    </row>
    <row r="24" spans="2:20" ht="20.25" customHeight="1" x14ac:dyDescent="0.2">
      <c r="H24" s="73">
        <v>4</v>
      </c>
      <c r="I24" s="74"/>
      <c r="J24" s="74"/>
      <c r="K24" s="75"/>
      <c r="L24" s="74"/>
      <c r="M24" s="74"/>
      <c r="N24" s="75"/>
      <c r="O24" s="74"/>
      <c r="P24" s="74"/>
      <c r="Q24" s="75"/>
      <c r="R24" s="74"/>
      <c r="S24" s="74"/>
      <c r="T24" s="75"/>
    </row>
    <row r="25" spans="2:20" ht="20.25" customHeight="1" x14ac:dyDescent="0.2">
      <c r="H25" s="73">
        <v>5</v>
      </c>
      <c r="I25" s="74"/>
      <c r="J25" s="74"/>
      <c r="K25" s="75"/>
      <c r="L25" s="74"/>
      <c r="M25" s="74"/>
      <c r="N25" s="75"/>
      <c r="O25" s="74"/>
      <c r="P25" s="74"/>
      <c r="Q25" s="75"/>
      <c r="R25" s="74"/>
      <c r="S25" s="74"/>
      <c r="T25" s="75"/>
    </row>
    <row r="27" spans="2:20" x14ac:dyDescent="0.2">
      <c r="I27" s="64"/>
    </row>
    <row r="28" spans="2:20" ht="20.25" x14ac:dyDescent="0.2">
      <c r="B28" s="67">
        <v>10</v>
      </c>
      <c r="C28" s="85" t="s">
        <v>689</v>
      </c>
    </row>
  </sheetData>
  <mergeCells count="6">
    <mergeCell ref="H18:T18"/>
    <mergeCell ref="L4:M4"/>
    <mergeCell ref="O4:S4"/>
    <mergeCell ref="O5:O6"/>
    <mergeCell ref="O8:O10"/>
    <mergeCell ref="O11:O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PORTADA</vt:lpstr>
      <vt:lpstr>ANÁLISIS CUALITATIVO</vt:lpstr>
      <vt:lpstr>FINANCIAL DATA</vt:lpstr>
      <vt:lpstr>FINANCIAL Q´S</vt:lpstr>
      <vt:lpstr>ANÁLISIS CUANTITATIVO</vt:lpstr>
      <vt:lpstr>ANALISIS_10K</vt:lpstr>
      <vt:lpstr>ANALISIS_10Q</vt:lpstr>
      <vt:lpstr>ANALISIS_FUNCIONAL</vt:lpstr>
      <vt:lpstr>CONFERENCIAS</vt:lpstr>
      <vt:lpstr>'FINANCIAL Q´S'!DIEZ_K</vt:lpstr>
      <vt:lpstr>DIEZ_K</vt:lpstr>
      <vt:lpstr>FINANCIAL_DATA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Rolon Aguilera Jesus Adrian</dc:creator>
  <cp:lastModifiedBy>Enrique Contreras</cp:lastModifiedBy>
  <cp:lastPrinted>2021-03-01T07:31:23Z</cp:lastPrinted>
  <dcterms:created xsi:type="dcterms:W3CDTF">2021-01-19T02:55:30Z</dcterms:created>
  <dcterms:modified xsi:type="dcterms:W3CDTF">2021-03-07T22:17:24Z</dcterms:modified>
</cp:coreProperties>
</file>